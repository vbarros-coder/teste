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dva\Downloads\"/>
    </mc:Choice>
  </mc:AlternateContent>
  <xr:revisionPtr revIDLastSave="0" documentId="8_{46D7DCA1-91DB-4CC1-A2EE-431A45642E6B}" xr6:coauthVersionLast="47" xr6:coauthVersionMax="47" xr10:uidLastSave="{00000000-0000-0000-0000-000000000000}"/>
  <bookViews>
    <workbookView xWindow="1080" yWindow="1080" windowWidth="21600" windowHeight="11280" tabRatio="500" activeTab="1" xr2:uid="{00000000-000D-0000-FFFF-FFFF00000000}"/>
  </bookViews>
  <sheets>
    <sheet name="BUSCA" sheetId="1" r:id="rId1"/>
    <sheet name="PROPERTY (SLA)" sheetId="2" r:id="rId2"/>
    <sheet name="RCG (SLA)" sheetId="4" r:id="rId3"/>
    <sheet name="RCP (SLA)" sheetId="5" r:id="rId4"/>
    <sheet name="Garantia Judicial" sheetId="6" r:id="rId5"/>
    <sheet name="Garantia - Ressarcimento" sheetId="7" r:id="rId6"/>
    <sheet name="Garantia - Adicional Trabalhist" sheetId="8" r:id="rId7"/>
    <sheet name="Garantia - Executante" sheetId="9" r:id="rId8"/>
    <sheet name="Garantia - ECTO" sheetId="10" r:id="rId9"/>
    <sheet name="Boticário" sheetId="11" r:id="rId10"/>
  </sheets>
  <definedNames>
    <definedName name="_xlnm._FilterDatabase" localSheetId="2">'RCG (SLA)'!$A$1:$Y$2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5" i="1" l="1"/>
  <c r="C74" i="1"/>
  <c r="C73" i="1"/>
  <c r="C72" i="1"/>
  <c r="C71" i="1"/>
  <c r="C70" i="1"/>
  <c r="C65" i="1"/>
  <c r="C64" i="1"/>
  <c r="C63" i="1"/>
  <c r="C62" i="1"/>
  <c r="C61" i="1"/>
  <c r="C60" i="1"/>
  <c r="C55" i="1"/>
  <c r="C54" i="1"/>
  <c r="C53" i="1"/>
  <c r="C52" i="1"/>
  <c r="C51" i="1"/>
  <c r="C50" i="1"/>
  <c r="C45" i="1"/>
  <c r="C44" i="1"/>
  <c r="C43" i="1"/>
  <c r="C42" i="1"/>
  <c r="C41" i="1"/>
  <c r="C40" i="1"/>
  <c r="C35" i="1"/>
  <c r="C34" i="1"/>
  <c r="C33" i="1"/>
  <c r="C32" i="1"/>
  <c r="C31" i="1"/>
  <c r="C30" i="1"/>
  <c r="C25" i="1"/>
  <c r="C24" i="1"/>
  <c r="C23" i="1"/>
  <c r="C22" i="1"/>
  <c r="C21" i="1"/>
  <c r="C20" i="1"/>
  <c r="C19" i="1"/>
  <c r="C18" i="1"/>
  <c r="C17" i="1"/>
  <c r="C16" i="1"/>
  <c r="C15" i="1"/>
  <c r="C14" i="1"/>
  <c r="C13" i="1"/>
  <c r="C12" i="1"/>
</calcChain>
</file>

<file path=xl/sharedStrings.xml><?xml version="1.0" encoding="utf-8"?>
<sst xmlns="http://schemas.openxmlformats.org/spreadsheetml/2006/main" count="2442" uniqueCount="748">
  <si>
    <t>SEGURADORAS_LISTA</t>
  </si>
  <si>
    <t>SISTEMA DE BUSCA DE SEGURADORAS</t>
  </si>
  <si>
    <t>AIG Seguros</t>
  </si>
  <si>
    <t>Digite o nome da seguradora na célula amarela abaixo para visualizar seus dados</t>
  </si>
  <si>
    <t>Akad Seguros</t>
  </si>
  <si>
    <t>Alba- Aliança da Bahia</t>
  </si>
  <si>
    <t>Seguradora:</t>
  </si>
  <si>
    <t>← Digite ou selecione uma seguradora da lista</t>
  </si>
  <si>
    <t>Alianz</t>
  </si>
  <si>
    <t>Avla Seguradora</t>
  </si>
  <si>
    <t>══════════════════════════════════════════════════════════════════════════════════════════</t>
  </si>
  <si>
    <t>Axa Seguros</t>
  </si>
  <si>
    <t>📋 INFORMAÇÕES DA SEGURADORA SELECIONADA</t>
  </si>
  <si>
    <t>Berkley Seguros</t>
  </si>
  <si>
    <t>BMG Seguros</t>
  </si>
  <si>
    <t>📁 PROPERTY (SLA) - Dados da Seguradora</t>
  </si>
  <si>
    <t>Bradesco Seguros</t>
  </si>
  <si>
    <t>Chubb Seguros</t>
  </si>
  <si>
    <t>Sistema</t>
  </si>
  <si>
    <t>Não</t>
  </si>
  <si>
    <t>Excelsor Seguros</t>
  </si>
  <si>
    <t>Trocar assunto do e-mail</t>
  </si>
  <si>
    <t>Sem orientação a respeito Seguir padrão da Addvalora</t>
  </si>
  <si>
    <t>FairFax Seguros</t>
  </si>
  <si>
    <t>Copiar analista nos e-mails</t>
  </si>
  <si>
    <t>Sim</t>
  </si>
  <si>
    <t>Fator</t>
  </si>
  <si>
    <t>SLA - 1º Contato e Agendamento</t>
  </si>
  <si>
    <t>Orientação : Manter contato imediato após o recebimento do acionamento</t>
  </si>
  <si>
    <t>FM Global</t>
  </si>
  <si>
    <t>SLA - Realização da Vistoria</t>
  </si>
  <si>
    <t>Conforme agendamento / apresentar a sintese até 48h após a vistoria</t>
  </si>
  <si>
    <t>Generali Seguros</t>
  </si>
  <si>
    <t>SLA - Relatório Preliminar</t>
  </si>
  <si>
    <t>Até 5 dias após a vistoria</t>
  </si>
  <si>
    <t>HDI Global</t>
  </si>
  <si>
    <t>SLA - Relatório Final</t>
  </si>
  <si>
    <t>Até 7 dias após último documento</t>
  </si>
  <si>
    <t>HDI Seguros</t>
  </si>
  <si>
    <t>Relatório modelo próprio</t>
  </si>
  <si>
    <t>Junto Seguros</t>
  </si>
  <si>
    <t>Períodos reiterações documentos</t>
  </si>
  <si>
    <t>Sem orientação
 Sugestão: Reiterar a cada 10 dias</t>
  </si>
  <si>
    <t>Liberty Seguros</t>
  </si>
  <si>
    <t>Prazo de encerramento</t>
  </si>
  <si>
    <t>Sem informação /
 Sugestão: Confirmar com analista após 75 dias, se da continuidade ao processo</t>
  </si>
  <si>
    <t>Mapfre</t>
  </si>
  <si>
    <t>Depreciação</t>
  </si>
  <si>
    <t>Conforme apólice</t>
  </si>
  <si>
    <t>Mitsui Seguros</t>
  </si>
  <si>
    <t>Salvados</t>
  </si>
  <si>
    <t>Sem informação / E-mail para o analista</t>
  </si>
  <si>
    <t>Newe</t>
  </si>
  <si>
    <t>Formulários Próprios</t>
  </si>
  <si>
    <t>*Autorização de crédito
 *Declaração de outros seguros
 *Formulário de conformidade</t>
  </si>
  <si>
    <t>Potencial Seguros</t>
  </si>
  <si>
    <t>Outros procedimentos</t>
  </si>
  <si>
    <t>QBE Seguros</t>
  </si>
  <si>
    <t>Sancor Seguros</t>
  </si>
  <si>
    <t>Sombrero Seguros</t>
  </si>
  <si>
    <t>📁 RCG (SLA) - Responsabilidade Civil Geral</t>
  </si>
  <si>
    <t>Sompo Seguros</t>
  </si>
  <si>
    <t xml:space="preserve">Sompo Seguros  / TERCEIRIZAÇÃO ANÁLISE                                                                  </t>
  </si>
  <si>
    <t>Sistema:</t>
  </si>
  <si>
    <t>Sura Seguros</t>
  </si>
  <si>
    <t>Copiar analista:</t>
  </si>
  <si>
    <t>Swiss Re</t>
  </si>
  <si>
    <t>SLA 1º Contato:</t>
  </si>
  <si>
    <t>Tokio Marine</t>
  </si>
  <si>
    <t>SLA Relatório Final:</t>
  </si>
  <si>
    <t>Zurich Seguros</t>
  </si>
  <si>
    <t>Prazo encerramento:</t>
  </si>
  <si>
    <t>Outros procedimentos:</t>
  </si>
  <si>
    <t>📁 RCP (SLA) - Responsabilidade Civil Profissional</t>
  </si>
  <si>
    <t>📁 GARANTIA JUDICIAL</t>
  </si>
  <si>
    <t>📁 GARANTIA - RESSARCIMENTO</t>
  </si>
  <si>
    <t>📁 GARANTIA - EXECUTANTE</t>
  </si>
  <si>
    <t>📋 LISTA DE SEGURADORAS DISPONÍVEIS</t>
  </si>
  <si>
    <t>Selecione uma das seguradoras abaixo e digite o nome exato na célula amarela (C5):</t>
  </si>
  <si>
    <t>Coluna 1</t>
  </si>
  <si>
    <t>Coluna 2</t>
  </si>
  <si>
    <t>Coluna 3</t>
  </si>
  <si>
    <t>💡 Dica: Digite o nome exato da seguradora na célula amarela (C5) para buscar os dados</t>
  </si>
  <si>
    <t>Seguradora</t>
  </si>
  <si>
    <t>Trocar campo de assunto do e-mail</t>
  </si>
  <si>
    <t>Copiar o analista em todos os e-mails</t>
  </si>
  <si>
    <t>SLA - 1º Contato e agendamento vistoria</t>
  </si>
  <si>
    <t>SLA- Realização da vistoria / Síntese</t>
  </si>
  <si>
    <t>Relatório de regulação modelo próprio</t>
  </si>
  <si>
    <t>Cronologia no relatório (sugestão utilizar em todos os processos)</t>
  </si>
  <si>
    <t>Períodos para reiterações de documentos (SLA)</t>
  </si>
  <si>
    <t>Prazo de encerramento sem manifestação / documentos-
  (Cycle Time)</t>
  </si>
  <si>
    <t>Valor em Risco</t>
  </si>
  <si>
    <t>Apresentação da apuração ao segurado antes da seguradora analisar os valores</t>
  </si>
  <si>
    <t>Emissão termo de acordo / demonstrativo de prejuízos</t>
  </si>
  <si>
    <t>Precisa enviar relatório final junto com time sheet / despesas</t>
  </si>
  <si>
    <t>Envio do relatório final junto com a nota fiscal</t>
  </si>
  <si>
    <t>Emissão carta de encerramento / Negativa</t>
  </si>
  <si>
    <t>Outros procedimentos e assuntos</t>
  </si>
  <si>
    <t>Reter a D.V.N</t>
  </si>
  <si>
    <t>Área de Salvados</t>
  </si>
  <si>
    <t>Regulação</t>
  </si>
  <si>
    <t>Modelo próprio</t>
  </si>
  <si>
    <t>E-mail para analista para ver se levanta o VR para prejuízos de até 5% do Valor em Risco Declarado ou atuar conforme particularidades da apólice
 Obs. Tem apólice que até determinado valor não apura o VR</t>
  </si>
  <si>
    <t>Sem informação</t>
  </si>
  <si>
    <t>Sem orientação / ver com o analista</t>
  </si>
  <si>
    <t>Sem orientação a respeito</t>
  </si>
  <si>
    <r>
      <rPr>
        <sz val="11"/>
        <color rgb="FF000000"/>
        <rFont val="Arial"/>
      </rPr>
      <t xml:space="preserve">* Relatórios Preliminares 2,3,4....: A cada 30 dias, se houver informações que justifiquem, ou sempre que houver fatos relevantes, como alteração de Estimativas de indenização.
</t>
    </r>
    <r>
      <rPr>
        <sz val="11"/>
        <color rgb="FF000000"/>
        <rFont val="Arial"/>
      </rPr>
      <t xml:space="preserve">Procedimentos e Honorários: Para valores de time sheet de até R$ 20.000,00, não há necessidade de aprovação prévia da AIG.
</t>
    </r>
  </si>
  <si>
    <t>Até 5 dias após último documento</t>
  </si>
  <si>
    <t>Sim: Para prejuizos ate 300K / Prejuizos acima de 301K Modelo addvalora Property</t>
  </si>
  <si>
    <t>A cada 05 dias</t>
  </si>
  <si>
    <t>25 dias corridos (encerrar por falta de cobertura se sem documentos no 20º dia).</t>
  </si>
  <si>
    <t>Prejuizo ate 75K apresentar ao corretor/segurado sem análise prévia da Seguradora / Prejuizo acima de 75K somente após a analise  e autorização da Seguradora</t>
  </si>
  <si>
    <t>Formulario PF / PJ</t>
  </si>
  <si>
    <r>
      <rPr>
        <sz val="11"/>
        <color rgb="FF000000"/>
        <rFont val="Arial"/>
      </rPr>
      <t xml:space="preserve">*Consulta de prêmio no Digital para verificar se tem parcela pendente – se tiver pendência realizar a o cálculo de prazo curto (planilha em anexo);
 * Ao realizar espelhamento manter o analista em cópia para conhecimento da nova abertura.
 *Obrigatório Protocolo da Concessionária de Energia em caso de Danos Elétricos
 *Processo acima de 300 mil, fazer no relatório padrão Addvalora
 * Outros valores tem relatório simplificado
</t>
    </r>
    <r>
      <rPr>
        <b/>
        <sz val="11"/>
        <color rgb="FF000000"/>
        <rFont val="Arial"/>
      </rPr>
      <t>*  Pedidos de cadastros de dados bancários e cópia de apólices, devems ser  direcionados à @Maria Souza, copiando as analistas @Isabella Silva e @Jemilli Silva.  Não sendo necessário, manter as demais analistas em cópia</t>
    </r>
    <r>
      <rPr>
        <sz val="11"/>
        <color rgb="FF000000"/>
        <rFont val="Arial"/>
      </rPr>
      <t xml:space="preserve">.
*Cobertura (telhado)  de Postos de Combustiveis na AKAD é considerada como edificações abertas e ou semi-abertas e não tem amparo técnico  na Garantia de Vendaval
</t>
    </r>
    <r>
      <rPr>
        <b/>
        <sz val="11"/>
        <color rgb="FF000000"/>
        <rFont val="Arial"/>
      </rPr>
      <t xml:space="preserve">Utilizar os modelos de carta recusa da AKAD e enviar para validação prévia do analista.
</t>
    </r>
    <r>
      <rPr>
        <b/>
        <u/>
        <sz val="11"/>
        <color rgb="FF000000"/>
        <rFont val="Arial"/>
      </rPr>
      <t>Obrigatório utilizar apenas os seguintes termos para encerramento:</t>
    </r>
    <r>
      <rPr>
        <b/>
        <sz val="11"/>
        <color rgb="FF000000"/>
        <rFont val="Arial"/>
      </rPr>
      <t xml:space="preserve">
1. Recusa Técnica: </t>
    </r>
    <r>
      <rPr>
        <sz val="11"/>
        <color rgb="FF000000"/>
        <rFont val="Arial"/>
      </rPr>
      <t xml:space="preserve">Sinistros sem cobertura.
</t>
    </r>
    <r>
      <rPr>
        <b/>
        <sz val="11"/>
        <color rgb="FF000000"/>
        <rFont val="Arial"/>
      </rPr>
      <t>2. Encerrado por falta de documentos:</t>
    </r>
    <r>
      <rPr>
        <sz val="11"/>
        <color rgb="FF000000"/>
        <rFont val="Arial"/>
      </rPr>
      <t xml:space="preserve"> Sinistros encerrados por pendência documental.
</t>
    </r>
    <r>
      <rPr>
        <b/>
        <sz val="11"/>
        <color rgb="FF000000"/>
        <rFont val="Arial"/>
      </rPr>
      <t>3. Prejuízo abaixo da franquia:</t>
    </r>
    <r>
      <rPr>
        <sz val="11"/>
        <color rgb="FF000000"/>
        <rFont val="Arial"/>
      </rPr>
      <t xml:space="preserve"> Quando o dano não atinge o valor da franquia.
</t>
    </r>
    <r>
      <rPr>
        <b/>
        <sz val="11"/>
        <color rgb="FF000000"/>
        <rFont val="Arial"/>
      </rPr>
      <t>4. Abertura indevida:</t>
    </r>
    <r>
      <rPr>
        <sz val="11"/>
        <color rgb="FF000000"/>
        <rFont val="Arial"/>
      </rPr>
      <t xml:space="preserve"> Erro de apólice ou necessidade de troca de registro.</t>
    </r>
  </si>
  <si>
    <t xml:space="preserve">Sim </t>
  </si>
  <si>
    <t>Padrão nº da Seguradora e/ou Ticket / Nome do segurado / Nº Addvalora</t>
  </si>
  <si>
    <t>Para unidade UGC 2 - Seguradora criou e-mail Regulacao@alba.com.br  (Para acionamentos e tratativas no decorrer do processo), copiar o analista também.</t>
  </si>
  <si>
    <t>Orientação : Manter contato imediato após o recebimento do acionamento/ mantendo todos os envolvidos em cópia.</t>
  </si>
  <si>
    <t>Conforme agendamento / apresentar a sintese até 24h após a vistoria ( dia util)</t>
  </si>
  <si>
    <t>Até 4 dias após a vistoria (confirmar SLA estipulada em contrato)</t>
  </si>
  <si>
    <t>UGC 2 - Simplificado com logo Addvalora e ALBA</t>
  </si>
  <si>
    <t>A cada 10 dias</t>
  </si>
  <si>
    <t>90 dias</t>
  </si>
  <si>
    <t>Sempre enviar para validação da Seguradora, caso estejam de acordo , seguiremos com envio e apresentação ao segurado.</t>
  </si>
  <si>
    <t>Após a validação da Seguradora , submeteremos ao segurado o Demonstrativo e termo de acordo.</t>
  </si>
  <si>
    <t>não</t>
  </si>
  <si>
    <r>
      <rPr>
        <sz val="11"/>
        <color rgb="FF000000"/>
        <rFont val="Arial"/>
      </rPr>
      <t xml:space="preserve">O login foi liberado, por enquanto, apenas para a usuária Katia Camillo (UGC2). Estamos auxiliando a seguradora no início do uso do sistema. Os procedimentos serão compartilhados com os demais quando o sistema estiver 100% funcional ou de acordo com a necessidade das equipes.
</t>
    </r>
    <r>
      <rPr>
        <b/>
        <sz val="11"/>
        <color rgb="FF000000"/>
        <rFont val="Arial"/>
      </rPr>
      <t>A emissão das Notas Fiscais de Honorários deverá ser realizada de forma individualizada por processo de sinistro.</t>
    </r>
  </si>
  <si>
    <r>
      <rPr>
        <u/>
        <sz val="11"/>
        <color rgb="FF000000"/>
        <rFont val="Arial"/>
      </rPr>
      <t>Sim</t>
    </r>
  </si>
  <si>
    <t>Sim /Seguir padrão da Addvalora</t>
  </si>
  <si>
    <t>Até 7 dias após a vistoria</t>
  </si>
  <si>
    <t>Não. Contudo, usamos um modelo simplificado</t>
  </si>
  <si>
    <t>Não. Vamos seguir a sugestão e inserir cronologia.</t>
  </si>
  <si>
    <t xml:space="preserve">
 Sugestão: Reiterar a cada 10 dias</t>
  </si>
  <si>
    <t xml:space="preserve">
 Sugestão: Confirmar com analista após 75 dias, se da continuidade ao processo</t>
  </si>
  <si>
    <t xml:space="preserve"> E-mail para o analista</t>
  </si>
  <si>
    <t>Sim</t>
  </si>
  <si>
    <t>Ver com o analista</t>
  </si>
  <si>
    <t>Sim</t>
  </si>
  <si>
    <t>Sim</t>
  </si>
  <si>
    <t>Não. Relatório Final inserido em Sistema. Time Sheet inserido em sistema.</t>
  </si>
  <si>
    <t>Não. Faturamento por lote</t>
  </si>
  <si>
    <t>Tabela Detalhada de Apuração de Prejuízos</t>
  </si>
  <si>
    <t>Sim</t>
  </si>
  <si>
    <r>
      <rPr>
        <sz val="11"/>
        <color rgb="FF000000"/>
        <rFont val="Arial"/>
      </rPr>
      <t xml:space="preserve">*É muito importante que seja gerada uma nova versão de relatório preliminar toda vez que ocorra
 alguma atualização importante, tais como, alterações de estimativas e detalhes importantes quanto à cobertura.
 *O sistema deve ser utilizado para inserir tanto os Relatórios quanto a documentação relativa ao faturamento de honorários e despesas.Mesmo assim, deve ser enviado também aos cuidados do analista via e mail. Encaminhar e mail informando que o processo foi finalizado no sistema.
 *Na realização da 1ª Vistoria, devera ser entregue o formulário " Termo de Autorização de Pagamento de Sinistro mediante Crédito em Conta" a ser preenchido pelo Segurado. Essa solicitação deverá ser incluída em nossa "Relação de Documentos".
 *O Sistema deve ser alimentado após o retorno da vistoria e na conclusão da Regulação.
 * O sistema tem manual
        </t>
    </r>
    <r>
      <rPr>
        <sz val="11"/>
        <color rgb="FF000000"/>
        <rFont val="Arial"/>
      </rPr>
      <t xml:space="preserve">Nomear os documentos que são indexados no sistema.
        Atentar-se às solicitações dos analistas feitas através do painel de avisos do sistema.
</t>
    </r>
  </si>
  <si>
    <t>Seguir padrão da Addvalora</t>
  </si>
  <si>
    <t>Manter o e-mail "sinistrobr.property@avla.com"  em todas tratativas</t>
  </si>
  <si>
    <t>Sim</t>
  </si>
  <si>
    <t>Sim</t>
  </si>
  <si>
    <t>Não/Inserir somente nº Addvalora</t>
  </si>
  <si>
    <t>Sim</t>
  </si>
  <si>
    <t>Orientação : Manter contato imediato após o recebimento do acionamento.</t>
  </si>
  <si>
    <t>Até 2 dias após a vistoria</t>
  </si>
  <si>
    <t>Sim. Utilizamos modelo simplificado</t>
  </si>
  <si>
    <t>Sim</t>
  </si>
  <si>
    <t xml:space="preserve">A cada 7 dias (UGC) </t>
  </si>
  <si>
    <t xml:space="preserve">75 dias informar o analista que indicará o prazo adcional na reiteração. (UCG)
</t>
  </si>
  <si>
    <t>Sim</t>
  </si>
  <si>
    <t>E-mail para área de Salvado e Analista (salvados.br@axa.com)</t>
  </si>
  <si>
    <t>Não /Ver com o analista</t>
  </si>
  <si>
    <t>Sim</t>
  </si>
  <si>
    <t>Sim</t>
  </si>
  <si>
    <t>Sim. Inserir no sistema da seguradora</t>
  </si>
  <si>
    <t>Sim: anexadas no GIS em até 1 dia útil ao dia seguinte do envio do relatório final</t>
  </si>
  <si>
    <t>Formulário Guarda de Salvados</t>
  </si>
  <si>
    <t>Sim</t>
  </si>
  <si>
    <r>
      <rPr>
        <sz val="11"/>
        <color rgb="FF000000"/>
        <rFont val="Arial"/>
      </rPr>
      <t xml:space="preserve">*Tem informações obrigatorias a ser inseridas nos relatórios (vide Baruc)
 *Modelo padrão da Seguradora para Relatorio Preliminares, Finais, Ata de Vistoria e Relatório Fotografico. Para os ramos (Riscos Nomeados/ Riscos Operacionais/ Riscos de Engenharia), será mantido o modelo da Addvalora.
 *A indicação da região para deslocamento, quando do aviso de sinistro, poderá ser negociada com a Cia., desde que seja apresentada justificativa plausível (Ex. robustez necessária / regulador com mais expertise devido ao tipo de sinistro /
 cliente especial / etc);
 *E-mail: salvados.br@axa.com , copiando sempre o analista do processo.
 * Para carteira do Posto Ipiranga ver as condições e prazos diferenciados;
 * Criar tarefa para o analista no sistema ao inserir os relatórios 
 * Continuar enviando os relatórios também por e-mail ao analista
 * Tem manual do sistema
</t>
    </r>
    <r>
      <rPr>
        <b/>
        <sz val="11"/>
        <color rgb="FF000000"/>
        <rFont val="Arial"/>
      </rPr>
      <t>As NFs de Honorários devem ser enviadas e anexadas no GIS em até 1 dia útil ao dia seguinte do envio do relatório final</t>
    </r>
  </si>
  <si>
    <t>Sim</t>
  </si>
  <si>
    <t>Sim</t>
  </si>
  <si>
    <t>*Relatórios Preliminares 2,3 4, .... : A cada 30 dias, se houver informações que justifiquem, ou sempre que houver fatos relevantes, como alteração de Estimativa de Indenização</t>
  </si>
  <si>
    <t>Sim</t>
  </si>
  <si>
    <t>Sim</t>
  </si>
  <si>
    <t>A cada 15 dias</t>
  </si>
  <si>
    <t>Sim</t>
  </si>
  <si>
    <t>*Autorização de crédito
 *Formulário de conformidade</t>
  </si>
  <si>
    <t>Sim</t>
  </si>
  <si>
    <t>Sim</t>
  </si>
  <si>
    <t>*É muito importante que seja gerada uma nova versão de relatório preliminar toda vez que ocorra
 alguma atualização importante, tais como, alterações de estimativas e detalhes importantes quanto à cobertura.
 *Tanto os Relatórios quanto a documentação relativa ao faturamento de honorários e despesas.Mesmo assim, deve ser enviado também aos cuidados do analista via e mail. 
 * Reiteração de documentos a cada 15 dias</t>
  </si>
  <si>
    <t>Sim</t>
  </si>
  <si>
    <t>Sim</t>
  </si>
  <si>
    <t>Sim</t>
  </si>
  <si>
    <t>*Autorização para crédito em conta 
 *Termo de guarda de salvados</t>
  </si>
  <si>
    <t>Sim</t>
  </si>
  <si>
    <t>*A Bradesco também aplica depreciação sobre Mão-de-Obra.
 *na apuração dos prejuízos e no cálculo da indenização para a cobertura de Roubo, que prevê limitação por unidade sinistrada e proporcionalização das franquias. Para este cálculo, devemos utilizar um quadro disponibilizado pela Bradesco. 
 * Para os sinistros de Danos Elétricos, concluídos a partir do dia 15/04/2019, dos ramos: Residencial, Condomínio e Empresarial, que tenham ocorrido nas cidades (localizadas no Nordeste) elencadas na 2ª aba desta planilha. 
 Assim, as Reguladoras de Sinistros devem orientar os Corretores e/ou Segurados, durante a regulação, que os bens sinistrados, reconhecidamente amparados pelo seguro e que por ventura não compense a sua recuperação (Perda total), deverão ser preservados, conforme previsto nas condições do seguro, para que no final do processo (após a indenização) sejam recolhidos por uma empresa contratada da Bradesco Auto/RE para a destinação adequada. 
 Após a indenização, a empresa recicladora contratada fará o contato com o Segurado visando agendar a data de recolhimento dos salvados, seja no local do sinistro ou na assistência técnica.
 As Reguladoras de Sinistros deverão informar detalhadamente no Relatório de Regulação a descrição dos salvados de forma completa (quantidade, descrição, marca, modelo e n.º de série) e incluir fotografia (se possível).
 *Antes de "enviar para análise" no SARE, o Relatório Final e o Time Sheet devem ser submetidos a prévia análise do analista da Cia. Seguradora para aprovação. 
 *Novos procedimentos:
  1) Imediatamente após receber pedidos de reaberturas com envio de documentos que estavam pendentes, seja enviado pelo segurado ou pelo corretor, a reguladora deverá comunicar por e-mail ao respectivo supervisor do pro
  2) A reguladora deverá responder ao segurado e/ou corretor que os documentos A, B e C foram recebidos e serão analisados por um prazo máximo de 5 dias corridos para que eles tenham uma posição se os documentos são suficientes para reabertura do processo ou não;
 2.1) Caso negativo, o segurado e/ou corretor serão informados quais documentos ainda permanecem pendentes e esta mensagem também deverá ser incluída pelo supervisor no SARE.
 2.2) Caso positivo, a reguladora deverá solicitar a reabertura do processo no SARE para o respectivo Supervisor para inclusão de Adendo RRS, bem como informar o valor da reserva a ser constituída.
 Mesmo com processo encerrado no SARE, como tudo estará registrado pelo supervisor, a Central terá acesso ao movimento dos processos.</t>
  </si>
  <si>
    <t>Sim.                                         Os relatórios devem ser enviados para sinistro.sme@chubb.com, copiando o analista</t>
  </si>
  <si>
    <t>Sim</t>
  </si>
  <si>
    <t>30 dias (Regulação) + 30 dias (Liquidação).</t>
  </si>
  <si>
    <t>Sim</t>
  </si>
  <si>
    <t>Não / Enviar e-mail para salvados-singrandesriscos@Chubb.com com cópia ao analista do sinistro.</t>
  </si>
  <si>
    <t>1-Em caso de Property não apresentar. 
 2- Para processo SME não apresentar.</t>
  </si>
  <si>
    <t>Sim</t>
  </si>
  <si>
    <t>Sim</t>
  </si>
  <si>
    <t>*Formulário de Salvados   *Autorização de crédito
 *Formulário de conformidade</t>
  </si>
  <si>
    <t>Sim</t>
  </si>
  <si>
    <t>Sim</t>
  </si>
  <si>
    <r>
      <rPr>
        <sz val="11"/>
        <color rgb="FF000000"/>
        <rFont val="Arial"/>
      </rPr>
      <t xml:space="preserve">*Para envio de Relatórios ao analista, deve copiar o e-mail sinistro.sme@chubb.com
 *No corpo do e-mail, deve estar explícita a informação sobre o tipo de relatório enviado à Chubb acompanhado dos
 seguintes itens adicionais:
</t>
    </r>
    <r>
      <rPr>
        <b/>
        <sz val="11"/>
        <color rgb="FF000000"/>
        <rFont val="Arial"/>
      </rPr>
      <t xml:space="preserve"> * Nomear relatórios conforma padrão da seguradora, conforme exemplos:
</t>
    </r>
    <r>
      <rPr>
        <sz val="11"/>
        <color rgb="FF000000"/>
        <rFont val="Arial"/>
      </rPr>
      <t xml:space="preserve"> 01_RegulacaoPreliminar_“Ordem de Pagamento SIS , 
 02_RegulacaoFinal_“Ordem de Pagamento SIS
 *No corpo do e-mail, deve estar explícita a informação sobre o tipo de relatório enviado à Chubb acompanhado dos seguintes itens adicionais:
 -Tipo de Relatório
 -Data de Entrega do último documento fornecido pelo segurado/corretor
 -Discriminação (Boletim de Ocorrência, por exemplo)
 -SLA
 *Nos casos de SME fica mantido o procedimento de envio do demonstrativo de apuração dos prejuízos ao segurado e corretor. Ressaltando que em todos os casos deve ser observado o texto a seguir para evitarmos transtornos junto ao cliente: “Declaro ainda, estar ciente de que o presente termo não implica, por parte da Seguradora, na obrigação do pagamento da indenização pelo sinistro reclamado, a qual fica sujeita às Condições Contratuais, eventuais limitações (tal como o Limite Máximo de Indenização) e eventuais deduções (tais como a franquia, salvados, depreciação e rateio), que regem o contrato de seguro.” O demonstrativo e termo de ciência dos valores não deve ser contabilizado como data de último documento, desta forma, não é obrigatório assinatura do segurado com a concordância de valores.
Toda a comunicação com a analista Marina Dantas deve seguir critérios específicos:
Não copiar em e-mails de rotina, como solicitações e reiterações de documentos ou envio de ata para assinatura.
Copiar quando for necessária sua intervenção, parecer ou esclarecimento técnico.
Copiar no envio dos seguintes documentos: ata já assinada, relatório fotográfico, relatório preliminar, relatório final e notas fiscais. Nesses casos, manter também em cópia o e-mail sinistro.sme@chubb.com
Envio obrigatório de relatório semanal todas as segundas-feiras com o estágio atualizado de cada sinistro em andamento.
O prazo de regulação/liquidação suspende-se por no máximo 2 (duas) vezes para solicitação de documentos.
Relatórios finais devem conter: coberturas afetadas, limites, memória de cálculo detalhada (franquias, juros, atualização) e fundamentação fática/legal em caso de recusa.</t>
    </r>
  </si>
  <si>
    <t>Sim / Também a caixa departamental (sinistros@excelsior.com.br)</t>
  </si>
  <si>
    <t>Sim</t>
  </si>
  <si>
    <t>E-mail para o analista</t>
  </si>
  <si>
    <t>Solicitar aprovação ao analista</t>
  </si>
  <si>
    <t>Sim</t>
  </si>
  <si>
    <t xml:space="preserve">Carta de Posicionamento (Minuta enviada para o analista)
</t>
  </si>
  <si>
    <t>Sim</t>
  </si>
  <si>
    <t>*Relatórios Preliminares 2, 3, 4....... : A cada 30 dias, se houver informações que justifiquem, ou sempre que houver fatos relevantes, como ateração de Estimativas de Indenização
 *Caixa departamental: sinistros@excelsiorseguros.com.br</t>
  </si>
  <si>
    <t>Não /Inserir somente nº Addvalora no final</t>
  </si>
  <si>
    <t>Copiar a caixa departamental (sin-property@fairfax.com.br)</t>
  </si>
  <si>
    <t>Sim</t>
  </si>
  <si>
    <t>90 dias informar ao analista e solicitar prazo para encerramento (costumam dar mais 30 dias)</t>
  </si>
  <si>
    <t>E-mail para o analista + corporativo</t>
  </si>
  <si>
    <t>E-mail</t>
  </si>
  <si>
    <t>Demonstrativo de prejuízos</t>
  </si>
  <si>
    <t>Termo de quitação</t>
  </si>
  <si>
    <t>Não. Encaminhar e-mail para aprovação do TS</t>
  </si>
  <si>
    <t>Não. Nota Fiscal segue aprós aprovação do TS</t>
  </si>
  <si>
    <t>Autorização para Crédito em conta</t>
  </si>
  <si>
    <t>Sim</t>
  </si>
  <si>
    <r>
      <rPr>
        <sz val="11"/>
        <color rgb="FF000000"/>
        <rFont val="Arial"/>
      </rPr>
      <t>* Não será necessário o envio de e-mail de agradecimento 
 * Para os sinistros em que haja o envio de relatório preliminar, final ou adendo. Sugerimos, incluir nas primeiras linhas do e-
 mail um recorte/print do Cálculo de reserva, que constará no relatório em anexo, isso facilitará a identificação de casos de
 maiores perdas, logo ao receber o e-mail.
 *O assunto dos e-mails enviados para a Fairfax não pode ser alterado para o padrão da Addvalora, podemos apenas inserir a referência da Addvalora, pois tem restrições de caracteres no referido campo.
 *A Seguradora possui e mail corporativo: sin-property@fairfax.com.br.
 *Todas as tratativas com à Seguradora devem ser feitas pelo e mail corporativo, NUNCA devemos enviar os e mails diretamente para o Analista.,</t>
    </r>
    <r>
      <rPr>
        <b/>
        <sz val="11"/>
        <color rgb="FF000000"/>
        <rFont val="Arial"/>
      </rPr>
      <t xml:space="preserve"> salvo na  UGR, conforme orientação do Clark, sempre copiam, além da caixa departamental, o analista do processo e na maioria das vezes, o José Eduardo e o José Luiz (por solicitação dos próprios).</t>
    </r>
    <r>
      <rPr>
        <sz val="11"/>
        <color rgb="FF000000"/>
        <rFont val="Arial"/>
      </rPr>
      <t xml:space="preserve">
 *Quando enviar e-mail diretamente para o Segurado (agendamento da vistoria ou outros por orientação do Corretor) deve-se colocar o sin-property em cópia normal.</t>
    </r>
  </si>
  <si>
    <t>Sim / Incluir obrigatoriamente a chave: docsin@fatorseguradora.com.br</t>
  </si>
  <si>
    <t>Até 3 dias após a vistoria</t>
  </si>
  <si>
    <t>Modelo Addvalora (Property)</t>
  </si>
  <si>
    <t>Sim</t>
  </si>
  <si>
    <t>Referido prazo de 90 dias, com a anuência expressa da Seguradora, deverá ser elaborada correspondência, informando o encerramento do sinistro no prazo de 10 (dez) dias.</t>
  </si>
  <si>
    <t>Não há</t>
  </si>
  <si>
    <t>Sim</t>
  </si>
  <si>
    <t>sim</t>
  </si>
  <si>
    <t>Tabela pode enviar o RF + NF dos honorários.</t>
  </si>
  <si>
    <t>Papel timbrado</t>
  </si>
  <si>
    <t>Sim</t>
  </si>
  <si>
    <t xml:space="preserve">*Caixa departamental - sinistros@fatorseguradora.com.br;
 *Todos os sinistros que envolvam valores de prejuízos relevantes, deverão ser discutidos previamente com o analista responsável pelo processo na Fator antes da emissão do relatório intermediário/preliminar.
1. Informar imediatamente o recebimento do último documento.
2. Enviar planilha de controle (Anexo 1) até o 5º dia útil do mês.
3. Follow-up judicial a cada 60 dias.
4. Resposta ao segurado: sempre "Em Análise".
Sempre que houver o recebimento do último documento necessário à análise do sinistro, deverá ser enviado e-mail ao analista responsável da Seguradora, informando que a documentação necessária foi integralmente apresentada, bem como a data de recebimento do último documento.
Da mesma forma, caso sejam identificadas, após a vistoria e/ou contato preliminar com o Segurado ou seu Representante, dúvidas ou indícios quanto ao enquadramento do evento nas coberturas contratadas, a Fator deverá ser comunicada com a maior brevidade possível.
</t>
  </si>
  <si>
    <t>Sim</t>
  </si>
  <si>
    <t>Sim</t>
  </si>
  <si>
    <t>Sim</t>
  </si>
  <si>
    <t>Não / Seguir padrão orientado pela seguradora</t>
  </si>
  <si>
    <t>Sim</t>
  </si>
  <si>
    <t>Conforme agendamento / apresentar a sintese até 24h após a vistoria</t>
  </si>
  <si>
    <t>Até 48 horas da realização da vistoria</t>
  </si>
  <si>
    <t>Sim</t>
  </si>
  <si>
    <t xml:space="preserve"> E-mail para o analista / inserção no sistema</t>
  </si>
  <si>
    <t>Sim</t>
  </si>
  <si>
    <t>Sim</t>
  </si>
  <si>
    <t>Apresentar junto ao relatório final a estimativa do TS</t>
  </si>
  <si>
    <t>Sim</t>
  </si>
  <si>
    <r>
      <rPr>
        <b/>
        <sz val="11"/>
        <color rgb="FF000000"/>
        <rFont val="Arial"/>
      </rPr>
      <t xml:space="preserve">Padrão de assunto de e-mail - E mails enviados para a Generali devem seguir o seguinte padrão: Agendamento Vistoria: Sinistro xxxxxx - Segurado: &lt; Nome do Segurado&gt; - Apólice: xxxxxx - Aviso: xxxxxxx Relatório Preliminar: Relatório Preliminar - Sinistro: xxxxx - Segurado: &lt; Nome do Segurado&gt; / Relatório Final: Relatório Final - Sinistro: xxxxx - Segurado: &lt; Nome do Segurado &gt;
 * No caso do Relatório Final, os arquivos devem ser enviados na seguinte ordem: NF honorarios e recibo despesas, Relatório de Regulação, e por último os anexos.
</t>
    </r>
    <r>
      <rPr>
        <b/>
        <sz val="11"/>
        <color rgb="FF000000"/>
        <rFont val="Arial"/>
      </rPr>
      <t>Honorários e Despesas de Regulação: A partir de 13 de setembro de 2024, é obrigatório incluir nos relatórios preliminares, finais e loss advices os valores estimados de honorários e despesas de regulação de forma separada. Esta medida visa aprimorar o controle das reservas financeiras.</t>
    </r>
    <r>
      <rPr>
        <b/>
        <sz val="11"/>
        <color rgb="FF000000"/>
        <rFont val="Arial"/>
      </rPr>
      <t xml:space="preserve">
</t>
    </r>
  </si>
  <si>
    <t>Seguir padrão da Seguradora e acrescentar n° Addvalora</t>
  </si>
  <si>
    <t>Sim</t>
  </si>
  <si>
    <t>Sim</t>
  </si>
  <si>
    <t>Semanalmente</t>
  </si>
  <si>
    <t>Compeltado 75 dias encaminhar ultima cobrnça com prazo de 15 para finalização ADM.</t>
  </si>
  <si>
    <t>Com anuência da seguradora</t>
  </si>
  <si>
    <t>Sim</t>
  </si>
  <si>
    <t>Sim</t>
  </si>
  <si>
    <t>Sim</t>
  </si>
  <si>
    <t>Sim</t>
  </si>
  <si>
    <t>Sim</t>
  </si>
  <si>
    <r>
      <rPr>
        <sz val="11"/>
        <color rgb="FF000000"/>
        <rFont val="Arial"/>
      </rPr>
      <t xml:space="preserve">*Se receber documentos tem até 48 horas para responder o corretor sobre pendências 
 * Caso seja necessário o envio de relatório traduzido, este deverá ser encaminhado em até 7 dias da solicitação da HDI Global.
 *Caso seja necessário o envio de adendo aos relatórios, este deverá ser encaminhado em até 05 dias da solicitação da HDI Global. 
 * Inserir nº Call Center e nº Hans nos Relatórios
 * Para o preenchimento do sistema, ver manual 
 *Inserir o número da reiteração de documentos a cada envio de e-mail ao segurado /corretor 
 Ao finalizar o processo:
 1) Quando da finalização do processo, verificar se a pessoa que assinará a TED tem poderes e se a documentação encaminhada atende os requisitos.
 2) Em caso de procuração, favor se atentar para a validade do documento;
 3) Em alguns casos, há necessidade de assinatura de 02 ou mais representantes da Empresa, portanto, a documentação encaminhada deverá atender estes requisitos;
 4) Quando do encerramento do processo pelo tempo decorrido, o regulador deverá mencionar todas as datas de reiterações e os documentos ainda pendentes
</t>
    </r>
    <r>
      <rPr>
        <b/>
        <sz val="11"/>
        <color rgb="FF000000"/>
        <rFont val="Arial"/>
      </rPr>
      <t>Modelo de Relatório:</t>
    </r>
    <r>
      <rPr>
        <sz val="11"/>
        <color rgb="FF000000"/>
        <rFont val="Arial"/>
      </rPr>
      <t xml:space="preserve"> Devem ser enviados no modelo "Draft" (com marca d’água) para validação prévia do analista.
</t>
    </r>
    <r>
      <rPr>
        <b/>
        <sz val="11"/>
        <color rgb="FF000000"/>
        <rFont val="Arial"/>
      </rPr>
      <t xml:space="preserve">Conteúdo: </t>
    </r>
    <r>
      <rPr>
        <sz val="11"/>
        <color rgb="FF000000"/>
        <rFont val="Arial"/>
      </rPr>
      <t xml:space="preserve">Não devem conter opiniões sobre enquadramento de coberturas.
</t>
    </r>
    <r>
      <rPr>
        <b/>
        <sz val="11"/>
        <color rgb="FF000000"/>
        <rFont val="Arial"/>
      </rPr>
      <t xml:space="preserve">Texto Obrigatório: </t>
    </r>
    <r>
      <rPr>
        <sz val="11"/>
        <color rgb="FF000000"/>
        <rFont val="Arial"/>
      </rPr>
      <t xml:space="preserve">Incluir ao final de cada relatório o texto padrão de isenção de responsabilidade da seguradora.
</t>
    </r>
    <r>
      <rPr>
        <b/>
        <sz val="11"/>
        <color rgb="FF000000"/>
        <rFont val="Arial"/>
      </rPr>
      <t>Relatórios Traduzidos:</t>
    </r>
    <r>
      <rPr>
        <sz val="11"/>
        <color rgb="FF000000"/>
        <rFont val="Arial"/>
      </rPr>
      <t xml:space="preserve"> Prazo de envio em até 2 dias da solicitação.
</t>
    </r>
    <r>
      <rPr>
        <b/>
        <sz val="11"/>
        <color rgb="FF000000"/>
        <rFont val="Arial"/>
      </rPr>
      <t>Confirmação de Documentos:</t>
    </r>
    <r>
      <rPr>
        <sz val="11"/>
        <color rgb="FF000000"/>
        <rFont val="Arial"/>
      </rPr>
      <t xml:space="preserve"> Prazo de 48 horas para confirmar recebimento e apontar pendências ao corretor/segurado.
</t>
    </r>
    <r>
      <rPr>
        <b/>
        <sz val="11"/>
        <color rgb="FF000000"/>
        <rFont val="Arial"/>
      </rPr>
      <t xml:space="preserve">Reforma Tributária (2026): </t>
    </r>
    <r>
      <rPr>
        <sz val="11"/>
        <color rgb="FF000000"/>
        <rFont val="Arial"/>
      </rPr>
      <t xml:space="preserve">Notas fiscais a partir de 01/01/2026 devem destacar IBS/CBS (alíquota teste 1%) conforme nova cláusula 1.4 do contrato.
</t>
    </r>
    <r>
      <rPr>
        <b/>
        <sz val="11"/>
        <color rgb="FF000000"/>
        <rFont val="Arial"/>
      </rPr>
      <t xml:space="preserve">Plantão de Emergência: </t>
    </r>
    <r>
      <rPr>
        <sz val="11"/>
        <color rgb="FF000000"/>
        <rFont val="Arial"/>
      </rPr>
      <t xml:space="preserve">Em recessos (como final de ano), utilizar os contatos específicos das áreas (Corporate: Diogo/Edmilson/Jorge/Thais; Massificados: Klauss/Toninho/Eliomar; Grandes Riscos: Luciano).
</t>
    </r>
    <r>
      <rPr>
        <b/>
        <sz val="11"/>
        <color rgb="FF000000"/>
        <rFont val="Arial"/>
      </rPr>
      <t>Solicitação de Documentos (</t>
    </r>
    <r>
      <rPr>
        <b/>
        <u/>
        <sz val="11"/>
        <color rgb="FF000000"/>
        <rFont val="Arial"/>
      </rPr>
      <t>não é necessário solicitar</t>
    </r>
    <r>
      <rPr>
        <b/>
        <sz val="11"/>
        <color rgb="FF000000"/>
        <rFont val="Arial"/>
      </rPr>
      <t xml:space="preserve">): </t>
    </r>
    <r>
      <rPr>
        <sz val="11"/>
        <color rgb="FF000000"/>
        <rFont val="Arial"/>
      </rPr>
      <t xml:space="preserve">Formulário Cadatral dos Beneficiários, RG/CPF do Segurado, RG/CPF do Beneficiário, Cópia do Cartão CNPJ, Contrato Social, RG/CPF dos Sócios da Empresa. Solicitar contrato social somente se for necessário comprovação de vínculo se o comprovante de endereço não estiver nominal ao segurado. 
</t>
    </r>
    <r>
      <rPr>
        <b/>
        <sz val="11"/>
        <color rgb="FF000000"/>
        <rFont val="Arial"/>
      </rPr>
      <t>Não copiar os Analistas em todas as trocas de e-mails:</t>
    </r>
    <r>
      <rPr>
        <sz val="11"/>
        <color rgb="FF000000"/>
        <rFont val="Arial"/>
      </rPr>
      <t xml:space="preserve"> Apenas naqueles em que for preciso um retorno dele;
</t>
    </r>
    <r>
      <rPr>
        <b/>
        <sz val="11"/>
        <color rgb="FF000000"/>
        <rFont val="Arial"/>
      </rPr>
      <t>Envio da DRL:</t>
    </r>
    <r>
      <rPr>
        <sz val="11"/>
        <color rgb="FF000000"/>
        <rFont val="Arial"/>
      </rPr>
      <t xml:space="preserve"> Utilizar o sistema da HDI, inclusive, para as reiterações;
</t>
    </r>
    <r>
      <rPr>
        <b/>
        <sz val="11"/>
        <color rgb="FF000000"/>
        <rFont val="Arial"/>
      </rPr>
      <t>Reiterações:</t>
    </r>
    <r>
      <rPr>
        <sz val="11"/>
        <color rgb="FF000000"/>
        <rFont val="Arial"/>
      </rPr>
      <t xml:space="preserve"> frequência semanal;
</t>
    </r>
    <r>
      <rPr>
        <b/>
        <sz val="11"/>
        <color rgb="FF000000"/>
        <rFont val="Arial"/>
      </rPr>
      <t>Quadro Demonstrativo de Apuração:</t>
    </r>
    <r>
      <rPr>
        <sz val="11"/>
        <color rgb="FF000000"/>
        <rFont val="Arial"/>
      </rPr>
      <t xml:space="preserve"> Indexar no sistema apenas após o “de acordo” do Corretor/Segurado;
</t>
    </r>
    <r>
      <rPr>
        <b/>
        <sz val="11"/>
        <color rgb="FF000000"/>
        <rFont val="Arial"/>
      </rPr>
      <t>Quadro Demonstrativo de Apuração:</t>
    </r>
    <r>
      <rPr>
        <sz val="11"/>
        <color rgb="FF000000"/>
        <rFont val="Arial"/>
      </rPr>
      <t xml:space="preserve"> Alçada de R$ 50k para envio sem prévia avaliação do Analista da Cia;
</t>
    </r>
    <r>
      <rPr>
        <b/>
        <sz val="11"/>
        <color rgb="FF000000"/>
        <rFont val="Arial"/>
      </rPr>
      <t>Solicitação de Documentos:</t>
    </r>
    <r>
      <rPr>
        <sz val="11"/>
        <color rgb="FF000000"/>
        <rFont val="Arial"/>
      </rPr>
      <t xml:space="preserve"> enviada após a validação do Analista da Cia ao Informe Preliminar.
</t>
    </r>
    <r>
      <rPr>
        <b/>
        <sz val="11"/>
        <color rgb="FF000000"/>
        <rFont val="Arial"/>
      </rPr>
      <t xml:space="preserve">Documentação SUSEP: </t>
    </r>
    <r>
      <rPr>
        <sz val="11"/>
        <color rgb="FF000000"/>
        <rFont val="Arial"/>
      </rPr>
      <t xml:space="preserve">Não há necessidade (exceção: Para os sinistros de Danos Elétricos há necessidade do envio do comprovante de endereço (conta de luz emitida pela concessionária de energia)).
</t>
    </r>
    <r>
      <rPr>
        <b/>
        <sz val="11"/>
        <color rgb="FF000000"/>
        <rFont val="Arial"/>
      </rPr>
      <t>Não utilizar o seguinte texto:</t>
    </r>
    <r>
      <rPr>
        <sz val="11"/>
        <color rgb="FF000000"/>
        <rFont val="Arial"/>
      </rPr>
      <t xml:space="preserve"> Documentos necessários para a regulação solicitados ao Corretor nesta data.
</t>
    </r>
    <r>
      <rPr>
        <b/>
        <sz val="11"/>
        <color rgb="FF000000"/>
        <rFont val="Arial"/>
      </rPr>
      <t xml:space="preserve">Orientação ao RCG: </t>
    </r>
    <r>
      <rPr>
        <sz val="11"/>
        <color rgb="FF000000"/>
        <rFont val="Arial"/>
      </rPr>
      <t xml:space="preserve">a regulação de sinistros envolvendo automóveis está sendo realizada pela própria Seguradora. Portanto, orienta-se questionar a companhia assim que o acionamento for recebido, registrando essa informação imediatamente no sistema.
</t>
    </r>
    <r>
      <rPr>
        <b/>
        <u/>
        <sz val="11"/>
        <color rgb="FF000000"/>
        <rFont val="Arial"/>
      </rPr>
      <t xml:space="preserve">Sempre que a regulação exigir mais de 40 horas dedicadas, o colaborador deve obrigatoriamente acionar o contato na Área de Sinistros da Seguradora. </t>
    </r>
  </si>
  <si>
    <t>Orientação : Manter contato imediato após o recebimento do acionamento e atualizar o sistema da seguradora com a data da vistoria</t>
  </si>
  <si>
    <t>Até 48 horas após a vistoria</t>
  </si>
  <si>
    <t>Sim</t>
  </si>
  <si>
    <t>Sim</t>
  </si>
  <si>
    <t>E-mail para analista</t>
  </si>
  <si>
    <t>Sim / mas após aval do analista</t>
  </si>
  <si>
    <t>Sim</t>
  </si>
  <si>
    <t>Inserimos no sistema após envio do final</t>
  </si>
  <si>
    <t>Sim</t>
  </si>
  <si>
    <r>
      <rPr>
        <sz val="11"/>
        <color rgb="FF000000"/>
        <rFont val="Arial"/>
      </rPr>
      <t xml:space="preserve">* Tem procedimentos para preenchimento da agenda no sistema ( manual no Baruc)
 *Tem regra para aplicação de franquia (LMI) e salvados
 * Tem que constar na ata ou preliminar se ter algum tipo de seguro inclusive habitacional quando for o caso.
</t>
    </r>
    <r>
      <rPr>
        <b/>
        <sz val="11"/>
        <color rgb="FF000000"/>
        <rFont val="Arial"/>
      </rPr>
      <t xml:space="preserve">Modelo de Relatório: </t>
    </r>
    <r>
      <rPr>
        <sz val="11"/>
        <color rgb="FF000000"/>
        <rFont val="Arial"/>
      </rPr>
      <t xml:space="preserve">Devem ser enviados no modelo "Draft" (com marca d’água) para validação prévia do analista.
</t>
    </r>
    <r>
      <rPr>
        <b/>
        <sz val="11"/>
        <color rgb="FF000000"/>
        <rFont val="Arial"/>
      </rPr>
      <t>Conteúdo:</t>
    </r>
    <r>
      <rPr>
        <sz val="11"/>
        <color rgb="FF000000"/>
        <rFont val="Arial"/>
      </rPr>
      <t xml:space="preserve"> Não devem conter opiniões sobre enquadramento de coberturas.
</t>
    </r>
    <r>
      <rPr>
        <b/>
        <sz val="11"/>
        <color rgb="FF000000"/>
        <rFont val="Arial"/>
      </rPr>
      <t>Texto Obrigatório:</t>
    </r>
    <r>
      <rPr>
        <sz val="11"/>
        <color rgb="FF000000"/>
        <rFont val="Arial"/>
      </rPr>
      <t xml:space="preserve"> Incluir ao final de cada relatório o texto padrão de isenção de responsabilidade da seguradora.
</t>
    </r>
    <r>
      <rPr>
        <b/>
        <sz val="11"/>
        <color rgb="FF000000"/>
        <rFont val="Arial"/>
      </rPr>
      <t xml:space="preserve">Relatórios Traduzidos: </t>
    </r>
    <r>
      <rPr>
        <sz val="11"/>
        <color rgb="FF000000"/>
        <rFont val="Arial"/>
      </rPr>
      <t xml:space="preserve">Prazo de envio em até 2 dias da solicitação.
</t>
    </r>
    <r>
      <rPr>
        <b/>
        <sz val="11"/>
        <color rgb="FF000000"/>
        <rFont val="Arial"/>
      </rPr>
      <t>Confirmação de Documentos:</t>
    </r>
    <r>
      <rPr>
        <sz val="11"/>
        <color rgb="FF000000"/>
        <rFont val="Arial"/>
      </rPr>
      <t xml:space="preserve"> Prazo de 48 horas para confirmar recebimento e apontar pendências ao corretor/segurado.
</t>
    </r>
    <r>
      <rPr>
        <b/>
        <sz val="11"/>
        <color rgb="FF000000"/>
        <rFont val="Arial"/>
      </rPr>
      <t xml:space="preserve">Reforma Tributária (2026): </t>
    </r>
    <r>
      <rPr>
        <sz val="11"/>
        <color rgb="FF000000"/>
        <rFont val="Arial"/>
      </rPr>
      <t xml:space="preserve">Notas fiscais a partir de 01/01/2026 devem destacar IBS/CBS (alíquota teste 1%) conforme nova cláusula 1.4 do contrato.
</t>
    </r>
    <r>
      <rPr>
        <b/>
        <sz val="11"/>
        <color rgb="FF000000"/>
        <rFont val="Arial"/>
      </rPr>
      <t xml:space="preserve">Plantão de Emergência: </t>
    </r>
    <r>
      <rPr>
        <sz val="11"/>
        <color rgb="FF000000"/>
        <rFont val="Arial"/>
      </rPr>
      <t xml:space="preserve">Em recessos (como final de ano), utilizar os contatos específicos das áreas (Corporate: Diogo/Edmilson/Jorge/Thais; Massificados: Klauss/Toninho/Eliomar; Grandes Riscos: Luciano).
</t>
    </r>
    <r>
      <rPr>
        <b/>
        <sz val="11"/>
        <color rgb="FF000000"/>
        <rFont val="Arial"/>
      </rPr>
      <t>Solicitação de Documentos (</t>
    </r>
    <r>
      <rPr>
        <b/>
        <u/>
        <sz val="11"/>
        <color rgb="FF000000"/>
        <rFont val="Arial"/>
      </rPr>
      <t>não é necessário solicitar</t>
    </r>
    <r>
      <rPr>
        <b/>
        <sz val="11"/>
        <color rgb="FF000000"/>
        <rFont val="Arial"/>
      </rPr>
      <t xml:space="preserve">): </t>
    </r>
    <r>
      <rPr>
        <sz val="11"/>
        <color rgb="FF000000"/>
        <rFont val="Arial"/>
      </rPr>
      <t xml:space="preserve">Formulário Cadatral dos Beneficiários, RG/CPF do Segurado, RG/CPF do Beneficiário, Cópia do Cartão CNPJ, Contrato Social, RG/CPF dos Sócios da Empresa. Solicitar contrato social somente se for necessário comprovação de vínculo se o comprovante de endereço não estiver nominal ao segurado.
</t>
    </r>
    <r>
      <rPr>
        <b/>
        <sz val="11"/>
        <color rgb="FF000000"/>
        <rFont val="Arial"/>
      </rPr>
      <t xml:space="preserve">Não copiar os Analistas em todas as trocas de e-mails: </t>
    </r>
    <r>
      <rPr>
        <sz val="11"/>
        <color rgb="FF000000"/>
        <rFont val="Arial"/>
      </rPr>
      <t xml:space="preserve">Apenas naqueles em que for preciso um retorno dele;
</t>
    </r>
    <r>
      <rPr>
        <b/>
        <sz val="11"/>
        <color rgb="FF000000"/>
        <rFont val="Arial"/>
      </rPr>
      <t xml:space="preserve">Envio da DRL: </t>
    </r>
    <r>
      <rPr>
        <sz val="11"/>
        <color rgb="FF000000"/>
        <rFont val="Arial"/>
      </rPr>
      <t xml:space="preserve">Utilizar o sistema da HDI, inclusive, para as reiterações;
</t>
    </r>
    <r>
      <rPr>
        <b/>
        <sz val="11"/>
        <color rgb="FF000000"/>
        <rFont val="Arial"/>
      </rPr>
      <t>Reiterações:</t>
    </r>
    <r>
      <rPr>
        <sz val="11"/>
        <color rgb="FF000000"/>
        <rFont val="Arial"/>
      </rPr>
      <t xml:space="preserve"> frequência semanal;
</t>
    </r>
    <r>
      <rPr>
        <b/>
        <sz val="11"/>
        <color rgb="FF000000"/>
        <rFont val="Arial"/>
      </rPr>
      <t xml:space="preserve">Quadro Demonstrativo de Apuração: </t>
    </r>
    <r>
      <rPr>
        <sz val="11"/>
        <color rgb="FF000000"/>
        <rFont val="Arial"/>
      </rPr>
      <t xml:space="preserve">Indexar no sistema apenas após o “de acordo” do Corretor/Segurado;
</t>
    </r>
    <r>
      <rPr>
        <b/>
        <sz val="11"/>
        <color rgb="FF000000"/>
        <rFont val="Arial"/>
      </rPr>
      <t xml:space="preserve">Quadro Demonstrativo de Apuração: </t>
    </r>
    <r>
      <rPr>
        <sz val="11"/>
        <color rgb="FF000000"/>
        <rFont val="Arial"/>
      </rPr>
      <t xml:space="preserve">Alçada de R$ 50k para envio sem prévia avaliação do Analista da Cia;
</t>
    </r>
    <r>
      <rPr>
        <b/>
        <sz val="11"/>
        <color rgb="FF000000"/>
        <rFont val="Arial"/>
      </rPr>
      <t>Solicitação de Documentos:</t>
    </r>
    <r>
      <rPr>
        <sz val="11"/>
        <color rgb="FF000000"/>
        <rFont val="Arial"/>
      </rPr>
      <t xml:space="preserve"> enviada após a validação do Analista da Cia ao Informe Preliminar.
</t>
    </r>
    <r>
      <rPr>
        <b/>
        <sz val="11"/>
        <color rgb="FF000000"/>
        <rFont val="Arial"/>
      </rPr>
      <t>Documentação SUSEP:</t>
    </r>
    <r>
      <rPr>
        <sz val="11"/>
        <color rgb="FF000000"/>
        <rFont val="Arial"/>
      </rPr>
      <t xml:space="preserve"> Não há necessidade (exceção: Para os sinistros de Danos Elétricos há necessidade do envio do comprovante de endereço (conta de luz emitida pela concessionária de energia)).
</t>
    </r>
    <r>
      <rPr>
        <b/>
        <sz val="11"/>
        <color rgb="FF000000"/>
        <rFont val="Arial"/>
      </rPr>
      <t xml:space="preserve">Não utilizar o seguinte texto: </t>
    </r>
    <r>
      <rPr>
        <sz val="11"/>
        <color rgb="FF000000"/>
        <rFont val="Arial"/>
      </rPr>
      <t xml:space="preserve">Documentos necessários para a regulação solicitados ao Corretor nesta data.
</t>
    </r>
    <r>
      <rPr>
        <b/>
        <sz val="11"/>
        <color rgb="FF000000"/>
        <rFont val="Arial"/>
      </rPr>
      <t>Orientação ao RCG:</t>
    </r>
    <r>
      <rPr>
        <sz val="11"/>
        <color rgb="FF000000"/>
        <rFont val="Arial"/>
      </rPr>
      <t xml:space="preserve"> a regulação de sinistros envolvendo automóveis está sendo realizada pela própria Seguradora. Portanto, orienta-se questionar a companhia assim que o acionamento for recebido, registrando essa informação imediatamente no sistema.</t>
    </r>
  </si>
  <si>
    <t>Sim</t>
  </si>
  <si>
    <t>Sem orientação /Ver com o analista</t>
  </si>
  <si>
    <t>Sim</t>
  </si>
  <si>
    <t>Sim</t>
  </si>
  <si>
    <t>Sim</t>
  </si>
  <si>
    <t>Sim</t>
  </si>
  <si>
    <t xml:space="preserve">Não </t>
  </si>
  <si>
    <t>Sim</t>
  </si>
  <si>
    <t>Sim</t>
  </si>
  <si>
    <t xml:space="preserve">*Relatórios Finais com apuração de indenização deveram vir acompanhados pelo Formulário Padrão da Liberty, Formulário Susep 445 " cadastro de beneficiário"
 *Fornece informações até o 2º dia útil de cada semana " informações sobre o desenvolvimento de Trabalhos de Regulação".
 *Relatórios Preliminares 2,3,4....: A cada 30 dias, se houver informações que justifiquem, ou sempre que houver fatos relevantes, como alteração de Estimativas de Idenização.
* Link de acesso ao Portal Yelum (Liberty):  https://www.portaldesegurosyelum.com.br/Inicio/login_prestadores.aspx  
</t>
  </si>
  <si>
    <t>Sim</t>
  </si>
  <si>
    <t>Sim</t>
  </si>
  <si>
    <t>Passados 90 dias da solicitação inicial dos documentos , consultar a seguradora</t>
  </si>
  <si>
    <t>Sim</t>
  </si>
  <si>
    <t>Não /ver com o analista</t>
  </si>
  <si>
    <t>Sim</t>
  </si>
  <si>
    <t>Formulário PPE - Pessoa Jurídica e Física / Formulário de Autorização de crédito / Formulário de Identificação dos sócios / Formulário de declaração de Inexistência de outros seguros
 Demonstrativo de prejuízos / Recibo Quitação</t>
  </si>
  <si>
    <t>Sim</t>
  </si>
  <si>
    <t>*A Mapfre possui um sistema informatizado semelhante ao nosso, que deve ser alimentado após o retorno da vistoria e quando da conclusão da regulação. É importante o devido registro no sistema deles, já que em caso de inconformidade, o analista não consegue constituir reserva e efetuar o pagamento da indenização e dos honorários. No sistema da Seguradora, devemos preencher apenas as abas denominadas: parecer, valores e documentos.
 * Inserir o relatório do Firstone somente após a avaliação do analista</t>
  </si>
  <si>
    <t xml:space="preserve">Em todas tratativas manter: documentosinistro@msig.com.br  </t>
  </si>
  <si>
    <t>Até 5 dias após a vistoria - Prejuizos até R$ 100mil
 Até 10 dias Prejuízos acima de R$ 100mil</t>
  </si>
  <si>
    <t>Até 5 dias após último documento - prejuizo até R$ 100mil
 Até 10 dias após último documento - prejuizo acima de R$ 100mil</t>
  </si>
  <si>
    <t>Sim</t>
  </si>
  <si>
    <t>A cada 15 dias e ao completar 75 dias, conceder prazo de +15dias</t>
  </si>
  <si>
    <t>75 dias</t>
  </si>
  <si>
    <t>Email</t>
  </si>
  <si>
    <t>Sim - Até R$ 200 mil - com ressalva a que seguradora fará análise dos valores .
 Não - Acima de R$ 200 mil</t>
  </si>
  <si>
    <t>Sim - Até R$ 200mil</t>
  </si>
  <si>
    <t>Sim</t>
  </si>
  <si>
    <t>Sim</t>
  </si>
  <si>
    <t>Sim</t>
  </si>
  <si>
    <t>Sim. Não colocar a palavra Kit no anexo de honorários e despesas</t>
  </si>
  <si>
    <t>Termo de Quitação de Sinistro</t>
  </si>
  <si>
    <t>Sim</t>
  </si>
  <si>
    <t xml:space="preserve">*Responder e-mails em até 48 horas; 
*Colocar Relatório, síntese e fotográfico em único arquivo pdf;
*Temos liberdade para sugestão de adiantamento mesmo sem solicitação o segurado;
* Negativa pode ser adiantada ao corretor antes de submeter a seguradora;
*Preliminares II, III, encaminhar e-mail somente ao analista; 
* Termo de Acordo: incluir texto que os valores serão submetidos para avaliação da Seguradora
 * Caso receba acionamento que ultrapasse 200km, solicitar aprovação para o analista antes de seguir com o atendimento;
*Relatórios Preliminares e Intermediários, o assunto do e-mail deve seguir – Aviso: N° Sinistro (123456) – Sinistro 0118000000 – Segurado ABCD
*Relatório Final e Adendo, o assunto do e-mail deve seguir – AVISO 123456 DT_ULTIMO _DOC – DD/MM/AAAA
A equipe da Mitsui deve ser copiada em todas as comunicações com o corretor/segurado através do e-mail documentosinistro@msig.com.br.
Notas fiscais e despesas devem acompanhar o Relatório Final. Não se deve usar a palavra "Kit" na descrição de honorários e despesas.
Ajuste de Reserva: Sempre que houver um ajuste de reserva, é necessário elaborar um relatório preliminar e contatar o analista. Variações de até 20% podem dispensar o relatório, dependendo do valor do prejuízo, mas o contato com o analista é essencial.
Peritos: A condução do perito é responsabilidade do regulador, que deve indicar o tipo de perícia necessária. A seguradora cobre os custos de apenas um regulador de campo e um perito por vistoria.
Adiantamentos: Os reguladores têm autonomia para sugerir adiantamentos, mesmo sem solicitação, comunicando previamente o analista. Atenção especial para adiantamentos acima de R$ 500.000,00.
Termo de Acordo: Para processos de até R$ 200.000,00, o termo deve incluir um texto informando que os valores serão validados pela seguradora. Acima desse valor, o processo deve ser submetido à aprovação prévia da seguradora antes do envio do termo.
</t>
  </si>
  <si>
    <t>Até 5 dias úteis nos casos sem perícia e até 10 dias úteis nos casos com perícia.</t>
  </si>
  <si>
    <t>Até 3 dias úteis após último documento</t>
  </si>
  <si>
    <t>Sim</t>
  </si>
  <si>
    <t xml:space="preserve">Solicitação de documentos: até 24 horas úteis;
Análise de documentos: até 7 dias úteis nos casos sem perícia e até 10 dias úteis nos casos com perícia;
</t>
  </si>
  <si>
    <t>30 dias - NLS</t>
  </si>
  <si>
    <r>
      <rPr>
        <sz val="11"/>
        <color rgb="FF000000"/>
        <rFont val="Arial"/>
      </rPr>
      <t xml:space="preserve">A </t>
    </r>
    <r>
      <rPr>
        <b/>
        <sz val="11"/>
        <color rgb="FF000000"/>
        <rFont val="Arial"/>
      </rPr>
      <t>rotina de faturamento</t>
    </r>
    <r>
      <rPr>
        <sz val="11"/>
        <color rgb="FF000000"/>
        <rFont val="Arial"/>
      </rPr>
      <t xml:space="preserve"> fica padronizada da seguinte forma: 
Emissão de 1 NF e 1 recibo por mês; 
Envio das informações para validação até o dia 05 do mês subsequente, no modelo disponibilizado pela Newe;
Individualização dos valores por número de sinistro e apólice; 
Envio com prefixo obrigatório [FATURAMENTO] para os e-mails juridico@neweseguros.com e produtos.juridico@neweseguros.com; 
Validação pela Newe até o dia 10; e
Emissão da NF + recibo com vencimento no dia 20.</t>
    </r>
  </si>
  <si>
    <t>Sim / Tem modelo apenas para exemplos de tópicos a serem utilizados</t>
  </si>
  <si>
    <t>Sim</t>
  </si>
  <si>
    <t>Sim</t>
  </si>
  <si>
    <t>*Contato para agendamento de vistoria, indicação de prejuízo em até 48 horas
 *Emissão de Relatório Final até 05 dias corridos após a entrega do último documento
 *Tem modelo de planilha de apuração no Baruc
 RD  
 Valor Atual: Para obtenção do valor atual de equipamentos, o regulador de sinistro deverá além de solicitar as cotações ao segurado, obter também suas próprias cotações no mercado, junto à revendedores de equipamentos iguais ou similares ao sinistrado;  - Caso as cotações apresentas pelo segurado estiver de acordo com os valores praticados pelo mercado, considerar esses valores como valor atual - Caso houver discrepância entre as cotações apresentadas pelo segurado, deveremos adotar ou as cotações obtidas pelo regulador de sinistro ou lançar mão de métodos de depreciação constante das condições gerais da apólice (Ross-Heideck)
 *Sinistro sem Cobertura Técnica: Se por ocasião da pre-análise ou durante a vistoria do regulador de sinistro, em ficando constatado que o evento não possui cobertura técnica na apólice do segurado, o regulador não deverá emitir no momento opinião a respeito da cobertura ou não do sinistro. Contudo, deverá ser solicitado ao segurado somente a documentação mínima necessária para comprovação do sinistro (negativa) e os prejuízos.
 *Seguradora solicita que a reguladora agilize os processos de sinistros para os casos em que estiver evidente a exclusão da cobertura técnica, não passar ao Segurado “Termo de Acordo de Prejuízos”. Passar apenas um documento denominado “demonstrativo de valores apurados”, sem necessitar pegar o de acordo do segurado e também não solicitar documentos de SUSEP, dados bancários, etc...
 A documentação para sinistros cuja cobertura estiver flagrantemente excluída, a regulação deverá ser agilizada, não criar expectativa de indenização ao segurado e limitar a solicitar documentos necessários a comprovação de causa, danos e prejuízos.
 *Não deixar de inserir no corpo do Relatório de Regulação de Sinistros (relatório modelo Pottencial já passado em reunião realizada na Pottencial recentemente), fotografias do equipamento sinistrado, modelo novo, numeração da gravação de chassi legível (não se limitar a plaqueta de identificação do equipamento), se possível número de motor também. Essa numeração deve estar devidamente compatível com a apólice do segurado.
  Tiveram casos para liquidar que não tinha a fotografia legível da gravação do chassi, apenas a foto da placa de identificação da máquina. Isso pode deixar a Cia. Seguradora vulnerável em alguma situação.
 * Se atentar para sinistros envolvendo Cortees e Soldas. Texto no Baruc
 * Nos relatórios, seguir como padrão o capitulo 02 como sendo onde descrevemos o SEGURADO.</t>
  </si>
  <si>
    <t>Sem orientação a respeito/ Considerar até 5 dias após último documento</t>
  </si>
  <si>
    <t>Sim</t>
  </si>
  <si>
    <t>Sim</t>
  </si>
  <si>
    <t>Sim/ Seguir padrão da Addvalora</t>
  </si>
  <si>
    <t>Copiar a Caixa departamental</t>
  </si>
  <si>
    <t>Sim</t>
  </si>
  <si>
    <t>Sim/ Mas com o aval da da seguradora</t>
  </si>
  <si>
    <t>Sim</t>
  </si>
  <si>
    <r>
      <rPr>
        <b/>
        <sz val="11"/>
        <color rgb="FF000000"/>
        <rFont val="Arial"/>
      </rPr>
      <t xml:space="preserve">Todos os pedidos de aprovação de timesheet devem ser encaminhados ao analista responsável, com o endereço sinistrosdespesas@fatorseguradora.com.br em cópia.
</t>
    </r>
    <r>
      <rPr>
        <sz val="11"/>
        <color rgb="FF000000"/>
        <rFont val="Arial"/>
      </rPr>
      <t xml:space="preserve">*Se não recebermos documentos no prazo de 15/20 dias, podemos apurar e apresentar ao corretor/segurado, para ver se concordamos com os valores, dependendo do caso e tipo de dano.
 *Sempre que houver a possibilidade de apurar (casos de negativas) sem a solicitação de documentos, devemos fazer a apuração no relatório preliminar ou final, por causa das incidências de casos judiciais.
 *Em casos como de vendaval (destelhamento), caso o segurado não encaminhe documentos, podemos apurar (com a ajuda dos nossos especialistas) e submeter ao segurado caso ele concorde com os valores, podemos fechar o processo.
 *Em processos que não há dúvidas ou problemas, podemos encaminhar o Termo de Valores ao corretor/segurado, sem anuência da segurança, porém sempre deixando informado no Termo de Acordo, que os valores serão submetidos para a análise da Seguradora. Caso identifique algum problema, casos que fogem da curva, submeta o Relatório antes de ligar para segurança validar (copiar caixa departamental).
 *Se não recebermos documentos no prazo de 15/20 dias, podemos apurar e apresentar ao corretor/segurado, para ver se concordamos com os valores, dependendo do caso e tipo de dano.
</t>
    </r>
  </si>
  <si>
    <t>Sim</t>
  </si>
  <si>
    <t>Sim</t>
  </si>
  <si>
    <t xml:space="preserve">NÃO </t>
  </si>
  <si>
    <t xml:space="preserve">Padrão da Seguradora- É obrigatório identificar o tipo de relatório no assunto.
Ex. Preliminar : Relatório Preliminar - Segurado Sompo: XXXX - Sinistro Sompo: xxxxxxx - Apólice Sompo: xxxxx
Final: Relatório de Regulação Final - Segurado Sompo: XXXX - Sinistro Sompo: xxxxxxx - Apólice Sompo: xxxxx
</t>
  </si>
  <si>
    <t xml:space="preserve">Sim /docsinistrore@sompo.com.br  / relatorios.sinistrocorporativo@sompo.com.br </t>
  </si>
  <si>
    <t>Orientação : Máximo de 2 horas úteis para contato (segurado/corretor). Máximo de 12 horas para responder por e-mail com os dados de agendamento.</t>
  </si>
  <si>
    <t>Realização da Vistoria: Em até 24 horas da data do acionamento. Síntese/Ata: Em até 24h úteis após a vistoria.</t>
  </si>
  <si>
    <t>Laudo Preliminar Final: Máximo de 48 horas após a realização da vistoria. Relatórios Parciais/Finais: Até 4 dias úteis (com perícia) ou 6 dias úteis (sem perícia) após recebimento dos documentos.</t>
  </si>
  <si>
    <t>Relatórios Parciais e Finais: Até 4 dias úteis (com participação de perícia) ou 6 dias úteis (sem participação de perícia) após o recebimento dos documentos.</t>
  </si>
  <si>
    <t>UGC 2 - Simplificado até R$ 50 Mil  com logo Addvalora e Sompo . Acima  de R$ 50mil (modelo Property Addvalora)</t>
  </si>
  <si>
    <t>Sim</t>
  </si>
  <si>
    <t xml:space="preserve">A cada 7 dias / encerrar casos (Até 100K) por falta de documentos que já tenham passado de 90 dias  sem apresentação de documentos - conceder + 15 dias para encerramento </t>
  </si>
  <si>
    <t>Ramo 118 -  90 dias
Ramo 351 -  140 dias
 Grandes Riscos  -160 dias</t>
  </si>
  <si>
    <t>Somente acima de 
 R$ 25.000.00</t>
  </si>
  <si>
    <t>Sim</t>
  </si>
  <si>
    <t xml:space="preserve">Sempre enviar para validação da Seguradora, caso estejam de acordo , eles enviarão para o de acordo do segurado </t>
  </si>
  <si>
    <t>*Modelo de demonstrativo de prejuízos
 *Circular Susep ( FIC )</t>
  </si>
  <si>
    <t>Sim</t>
  </si>
  <si>
    <t>*Copiar a caixa departamental docsinistrore@sompo.com.br em todas as tratativas com o segurado/corretor.
 *Toda vez que a vistoria não for realizada em até 48 horas a partir do recebimento da vistoria, os esclarecimentos dos motivos pelos quais houve a demora deverá ser informado no preliminar de vistoria impreterivelmente no primeiro paragrafo. Outras informações encontram-se na aba "Instruções Regulação". Solicitamos uma atenção especial nos prazos (atrasos), pois o Contrato prevê multa (redução dos honorários).Essa regra não se aplica ao Garantia.
 *Reforçamos que em todos os casos em que o endereço do local do sinistro for divergente do endereço do local de risco assegurado pela apólice, a primeira coisa que a reguladora tem que fazer é identificar se o endereço do local de risco é existente em algum outro lugar, pois caso exista, o evento se encontrará desprovido de cobertura técnica, a menos que haja comunicação interna entre os 2 endereços. 
 *Em casos de Danos Elétricos, solicitar ao segurado para providenciar o protocolo junto a concessionária de energia elétrica.
Envio de documentos: Devem ser nomeados e enviados em formato ZIP, copiando o e-mail docsinistrore@sompo.com.br.
Envio de relatórios (preliminar e final): Enviar ao analista e copiar os e-mails docsinistrore@sompo.com.br e relatorios.sinistrocorporativo@sompo.com.br.
Danos Elétricos: Em casos de danos elétricos, é obrigatório solicitar o Laudo Técnico assinado para fins de possível ressarcimento.
Critérios de Análise e Indenização:
Diferença de Valor de Novo (DVN): Pagamentos de DVN de até R$ 25.000,00 podem ser realizados sem a necessidade de envio das notas fiscais de reposição. O regulador pode, no entanto, solicitar as notas se julgar necessário, justificando o motivo.
Cotações de Prédio: Fontes como PINI e SINAPI servem apenas como parâmetro. A fixação do prejuízo não deve se basear nelas, mas sim em orçamentos de empresas que de fato realizarão o serviço. Deve-se negociar com o orçamentista do segurado ou solicitar novos orçamentos se os valores estiverem muito acima da média.
Cotações de Conteúdo: O objetivo é avaliar se o valor pleiteado está de acordo com a média de mercado, e não apenas encontrar o item mais barato. Deve-se ter bom senso, considerando variações aceitáveis, como a diferença de preços entre lojas físicas e online. O frete deve ser cotado e incluído no cálculo, sem aplicação de depreciação.
Riscos de Engenharia (Roubo/Furto Qualificado): É preciso atenção a um sublimite para roubo/furto de materiais a incorporar à obra, que pode estar descrito no final da apólice, com franquia específica.
Créditos Tributários: a seguradora disponibiliza um texto padrão para a solicitação de informações sobre créditos tributários (ICMS, IPI, etc.), que deve ser usado nas comunicações com o segurado
 * Outras particularidades específicas podem ser consultadas no link: https://drive.google.com/drive/folders/1WvdFQ46w9W5behyLYzs7wKcn7-jQ3mat?usp=drive_link
Envio da DRL: Máximo de 24 horas após a vistoria (encaminhar ao corretor, copiando analista e docsinistrore@sompo.com.br).        
Relação de Sinistros Pendentes: Envio Semanal (às sextas-feiras) para relatoriosregrandesriscos@sompo.com.br.        
Solicitação de Docs. Complementares (&gt; R$ 800 mil): Obrigatório alinhamento prévio e aprovação do analista responsável antes de qualquer solicitação de novos documentos não iniciais. (Vigência: 01/12/2025)        
SLA Sompo Retorno (Aprovação Doc. Complementar): Até 48 horas úteis (após e-mail do prestador). (Vigência: 01/12/2025)</t>
  </si>
  <si>
    <t>Sim / Apenas UGC 2</t>
  </si>
  <si>
    <t xml:space="preserve">Sim / docsinistrore@sompo.com.br  E </t>
  </si>
  <si>
    <t xml:space="preserve">Para garantir o cumprimento do SLA, o processo deve ser atualizado no SAP em até 2 horas. A tratativa inicial, realizada pelas  Analistas, deve incluir obrigatoriamente:
Lançamento das reservas iniciais, mesmo que em valores mínimos.
Estimativa de prejuízos /Honorários de regulação/ Despesas ou custos de análise.
</t>
  </si>
  <si>
    <t>UGC 2 - Simplificado até R$ 50 Mil  com logo Addvalora e SOmpo / de R$ 50.000,01 até R$ 100 K (modelo Property Addvalora)</t>
  </si>
  <si>
    <t>Sim</t>
  </si>
  <si>
    <t>Sim</t>
  </si>
  <si>
    <t>Analista terceirizada enviará para o Segurado apuração para o "de acordo" bem como a solicitação do FIC.</t>
  </si>
  <si>
    <t>Sim</t>
  </si>
  <si>
    <t xml:space="preserve">Analistas terceirizadas,  sempre enviar apolice para equipe regulação / atualizações em Sistema /  analise de todo material de regulação / realizações de pagamentos de indenização , honorários e despesas com processo / emissão dee cartas / análises de contestações de negativas </t>
  </si>
  <si>
    <t>Sim</t>
  </si>
  <si>
    <t>Sim</t>
  </si>
  <si>
    <t>Sim</t>
  </si>
  <si>
    <t>*Carta de encerramento
 *Termo de acordo
 *Formulárioa Susep 612/20</t>
  </si>
  <si>
    <t>Sim</t>
  </si>
  <si>
    <t>*Fornecer a Seguradora até o 2º dia útil de cada semana "Informação sobre desenvolvimento dos Trabalhos de Regulação".
 *Tem manual do sistema no Baruc</t>
  </si>
  <si>
    <t xml:space="preserve"> Seguir padrão da Addvalora</t>
  </si>
  <si>
    <t>Sim / Também a caixa departamental (BRDoc_Corporatesolutions@swissre.com)</t>
  </si>
  <si>
    <t>3 dias após vistoria (Standard) ou 5 dias (Complex).</t>
  </si>
  <si>
    <t xml:space="preserve">
5 dias após último documento (Standard) ou 10 dias (Complex).</t>
  </si>
  <si>
    <t>Sim</t>
  </si>
  <si>
    <t xml:space="preserve">
A cada 7 dias (Standard) ou 10 dias (Complex).</t>
  </si>
  <si>
    <t>Sim</t>
  </si>
  <si>
    <t>Sim</t>
  </si>
  <si>
    <t>Sim</t>
  </si>
  <si>
    <t>Sim</t>
  </si>
  <si>
    <t>1. Limite de 2 solicitações de docs complementares (sinistros &gt; 500 SM); 
2. Prazo legal de 30 dias para análise de cobertura (Art. 68); 
3. Solicitação de docs em lote (DRL); 
4. Uso de canal dedicado para gestão de documentos.</t>
  </si>
  <si>
    <t>Conforme SLA Sistema</t>
  </si>
  <si>
    <t>Não, porém há um modelo simplificado aprovado pela seguradora para o Ramo 18</t>
  </si>
  <si>
    <t>Sim</t>
  </si>
  <si>
    <t>A cada 7 dias / Conforme sistema</t>
  </si>
  <si>
    <t>125 dias empresarial
 290 dias Emg. / RNO</t>
  </si>
  <si>
    <t>Somente acima de 
 R$ 15.000,00</t>
  </si>
  <si>
    <t>Sim</t>
  </si>
  <si>
    <t>Sim</t>
  </si>
  <si>
    <t>Sim /Com ressalva a que seguradora fará análise dos valores .</t>
  </si>
  <si>
    <t>Sim</t>
  </si>
  <si>
    <t>Sim</t>
  </si>
  <si>
    <t xml:space="preserve">*Formulário Guarda de Salvados 
 * Declaração de Ciência de Valores (Timbrado)
 *Termo de Compromisso de Devolução de Bens
 * Reclamação de prejuízos à concessionária de energia elétrica (protocolo)
 * Formulário Autorização para crédito de indenização de sinistro
</t>
  </si>
  <si>
    <t>Sim</t>
  </si>
  <si>
    <t>*Formulário Guarda de Salvados 
 * Declaração de Ciência de Valores (Timbrado)
 *Termo de Compromisso de Devolução de Bens
 * Reclamação de prejuízos à concessionária de energia elétrica (protocolo)
 * Formulário Autorização para crédito de indenização de sinistro
 * Formulário de para danos elétricos 
 Para os sinistros em que houver aplicação de depreciação, com retenção de valor a título de DVN (diferença de valor de novo), o RELATÓRIO DE REGULAÇÃO DE SINISTRO deve ser indexado no sistema da Cia. Seguradora como RELATÓRIO INTERINO, mesmo ele sendo o Relatório Final. 
 Isso porque o processo continuará aberto com a Reguladora e a Seguradora, aguardando o prazo estipulado na apólice para indenização do valor da DVN. 
 Caso seja um sinistro de grande complexidade em que o volume de informações não seja suportado pelo sistema, temos que desenvolver um relatório em “Word” com o mesmo layout ao constante no portal do regulador e fazer o upload dele (PDF) no portal da Tokio. (*) Somente o Relatório Final. Os Relatórios Preliminares e Intermediários devem ser elaborados no modelo da Addvalora Brasil. (Informação confirmada com o Sr. Alessandro Pasti (08.07.2019)). Temos a sugestão de elaborar o Relatório Final, também, no modelo padrão Addvalora, tendo em vista que o modelo da Tokio é suscinto e poderão ocorrer questionamentos por parte da Cia. Seguradora. 
 *Responder e-mail dentro de 24horas
 *Em caso de dúvida tem manual do Portal para consulta no Baruc</t>
  </si>
  <si>
    <t xml:space="preserve">Sim
</t>
  </si>
  <si>
    <t>Até 10 dias após último documento</t>
  </si>
  <si>
    <t>Sim</t>
  </si>
  <si>
    <t>A cada 15 dias e ao completar 75 dias, comnceder prazo de +15dias (regra para sinistros de até R$ 1 milhão)</t>
  </si>
  <si>
    <t xml:space="preserve">
 Ao compeltar 75 dias encaminhar ver com analista prazo para encerramento</t>
  </si>
  <si>
    <t>Apura para qualquer valor e não vale a sugestão de 5% do prejuízo X VRD (Para os processos que realizamos UGC, não foi necessário levantamento do VRD)</t>
  </si>
  <si>
    <t>Sim</t>
  </si>
  <si>
    <t>Sim</t>
  </si>
  <si>
    <t>Sim</t>
  </si>
  <si>
    <t>Sim</t>
  </si>
  <si>
    <t>Inserir a nota fiscal no sistema</t>
  </si>
  <si>
    <t>*Modelo de Aviso de Sinistro
 *Declaração de outros seguros</t>
  </si>
  <si>
    <t>Sim</t>
  </si>
  <si>
    <t>*Formulário Aviso de sinistro / declaração de outros seguros
 *Ao estabelecer reserva para sinistros, deve-se considerar: - Todos os fatos pertinentes do sinistro e estabelecer uma reserva para indenização que reflita a atual avaliação de exposição ( prejuízo) - Estimativa realista das despesas que provavelmente serão incorridas com a gestão e liquidação do sinistro.
 *Indicadores de Fraude - pedimos que a informação em relação ao quadro encaminhado, seja num arquivo apartado aos relatórios, tendo em vista que por muitas vezes os corretores e segurados recebem os documentos e trata-se de informação sensível 
 *Para Fast Track tem orientações no Baruc para agilidade nos processos, desde o primeiro contato até a elaboração do relatório final ( simplificado)
 *Projeto Facility - processo abaixo da 100K ( regulação simples e sem burocracia) - Confirmar se está rodando este projeto</t>
  </si>
  <si>
    <t>AXA – ADM</t>
  </si>
  <si>
    <t>GIS (Financial Lines e Property) – https://sinistro.axa.com.br/Portal/Base/Login/LoginPortal.aspx</t>
  </si>
  <si>
    <t>N/A</t>
  </si>
  <si>
    <t>Sim — copiar o analista responsável e pagamentoprestador.br@axa.com nos envios de faturamento.</t>
  </si>
  <si>
    <t>Contato com segurado/corretor: 24h; agendamento da vistoria/reunião: 24h.</t>
  </si>
  <si>
    <t>5 dias úteis após vistoria ou acionamento (em casos sem vistoria).</t>
  </si>
  <si>
    <t>5 dias úteis após o recebimento do último documento.</t>
  </si>
  <si>
    <t>N/A — utiliza modelo padrão Addvalora.</t>
  </si>
  <si>
    <t>10 dias corridos.</t>
  </si>
  <si>
    <t>30 dias (sem retorno/reiterações ou pendência documental) — sob consulta ao analista.</t>
  </si>
  <si>
    <t>Conforme apólice / prejuízo apurado. Não há limite expresso.</t>
  </si>
  <si>
    <t>Sim — “Kit Faturamento” inclui demonstrativo de prejuízos (enviar ao analista).</t>
  </si>
  <si>
    <t>Sim — processos por hora: enviar timesheet para aprovação antes do faturamento.</t>
  </si>
  <si>
    <t>Sim — enviar relatório final + kit com a NF e cópia para pagamentoprestador.br@axa.com.</t>
  </si>
  <si>
    <t>- Abertura imediata; prazo regular 90 dias. Honorários por tabela e hora (R$170/h). Despesas: R$1,30/km; alimentação R$30; hospedagem 3★.</t>
  </si>
  <si>
    <t>Padrão</t>
  </si>
  <si>
    <t>CHUBB – ADM</t>
  </si>
  <si>
    <t>Portal Chubb (vendorassignment.chubb.com)</t>
  </si>
  <si>
    <t>Sim — sempre copiar o analista; relatórios e cobranças para sinistro.sme@chubb.com.</t>
  </si>
  <si>
    <t>Conforme apólice / prejuízo apurado.</t>
  </si>
  <si>
    <t>Enviar formulário/aviso de salvados para salvados-singrandesriscos@chubb.com com cópia ao analista.</t>
  </si>
  <si>
    <t>Sim — enviar RF + NF + timesheet/recibos/comprovantes juntos para sinistro.sme@chubb.com.</t>
  </si>
  <si>
    <t>Sim — caixa departamental sinistro.sme@chubb.com (copiar analista).</t>
  </si>
  <si>
    <t>Carta negativa enviada pelo analista da Chubb ao corretor; regulador não deve antecipar entendimento.</t>
  </si>
  <si>
    <t>Padronizar nomes dos anexos (ACSEL/SIS). Não encerrar processo sem anuência do analista. Alimentação R$44; deslocamento R$1,52/km; hospedagem 3★.</t>
  </si>
  <si>
    <t>FAIRFAX – ADM</t>
  </si>
  <si>
    <t>Acesso somente para a Katia por enquanto</t>
  </si>
  <si>
    <t>Campo de assunto não pode ser alterado; apenas inserir referência Addvalora.</t>
  </si>
  <si>
    <t>Sim — sempre copiar o analista e o e-mail corporativo sin-rc@fairfax.com.br.</t>
  </si>
  <si>
    <t>Instrução de e-mails: copiar sin-rc@fairfax.com.br e o analista; não alterar assunto padrão.</t>
  </si>
  <si>
    <t>GENERALI – Judicial</t>
  </si>
  <si>
    <t>GIS BRASIL</t>
  </si>
  <si>
    <t>24h contato; 24h abertura.</t>
  </si>
  <si>
    <t>7 dias (Relatório Preliminar).</t>
  </si>
  <si>
    <t>7 dias (Relatório Final).</t>
  </si>
  <si>
    <t>Não se aplica (reiter.)</t>
  </si>
  <si>
    <t>365 dias (Prazo de Regulação – Judicial e RC Empregador).</t>
  </si>
  <si>
    <t>Processo por hora conforme TS; quando aplicável.</t>
  </si>
  <si>
    <t>Indexar no GIS; posicionamento por carta; franquia/RC Obras conforme POP.</t>
  </si>
  <si>
    <t>NGB – ADM</t>
  </si>
  <si>
    <t>Opera com fluxos via e-mail e diretrizes internas</t>
  </si>
  <si>
    <t>Imediato contato; 24h vistoria (quando aplicável).</t>
  </si>
  <si>
    <t>Até 365 dias (regulação) — quando aplicável.</t>
  </si>
  <si>
    <t>Timesheet quando processo por hora; faturamento conforme POP.</t>
  </si>
  <si>
    <t>Diretrizes de portal/atualização vinculadas a procedimentos Tokio; salvados, DRL e encerramento definidos por POP.</t>
  </si>
  <si>
    <t>TOKIO MARINE – ADM</t>
  </si>
  <si>
    <t>Portal do Prestador</t>
  </si>
  <si>
    <t>Imediato contato; agendamento 24h.</t>
  </si>
  <si>
    <t>N/A (síntese/ata junto ao RP)</t>
  </si>
  <si>
    <t>Relatório Preliminar: conforme POP; prorrogação permitida 1x (mediante ciência do coordenador).</t>
  </si>
  <si>
    <t>Relatório Final: até 48h após último documento.</t>
  </si>
  <si>
    <t>Indexar DRL/documentos em todos os sinistros.</t>
  </si>
  <si>
    <t>Atualização de sinistro a cada 7 dias (portal aceita 9–11 dias).</t>
  </si>
  <si>
    <t>Jira (salvados) quando aplicável.</t>
  </si>
  <si>
    <t>Envio de RF e anexos via portal (PDF).</t>
  </si>
  <si>
    <t>Formatação PDF obrigatória; sem vídeos/áudios/ZIP.</t>
  </si>
  <si>
    <t>Não clicar na “Caixa de Notificações” do portal; registrar todas tratativas por e-mail e indexar no portal.</t>
  </si>
  <si>
    <t>TOKIO MARINE – Judicial</t>
  </si>
  <si>
    <t>Portal Parceiros</t>
  </si>
  <si>
    <t>1º contato: 24h; agendamento: imediato (se aplicável).</t>
  </si>
  <si>
    <t>7 dias após último documento (Relatório Final).</t>
  </si>
  <si>
    <t>365 dias (Prazo regular de regulação).</t>
  </si>
  <si>
    <t>Processos por hora: TS até 30 dias para aprovação (quando aplicável).</t>
  </si>
  <si>
    <t>—</t>
  </si>
  <si>
    <t>TOKIO MARINE – RCF-V</t>
  </si>
  <si>
    <t>Sem acesso ao sistema; tratativas por e-mail</t>
  </si>
  <si>
    <t>Sim — copiar analista responsável; e, em faturamento/kit, incluir raquel.lopes@tokiomarine.com.br.</t>
  </si>
  <si>
    <t>Abertura: 2h; 1º contato: 24h; agendamento: 24h.</t>
  </si>
  <si>
    <t>Reporte/Preliminar: 24h (após análise inicial).</t>
  </si>
  <si>
    <t>Relatório Final: 5 dias após documentação.</t>
  </si>
  <si>
    <t>Reiterações: 7 dias.</t>
  </si>
  <si>
    <t>Encerramento: 30 dias (regular).</t>
  </si>
  <si>
    <t>Processos sempre por hora; TS deve ser salvo e enviado com o kit (não precisa aprovação).</t>
  </si>
  <si>
    <t>Envios de kit por e-mail; copiar raquel.lopes@tokiomarine.com.br.</t>
  </si>
  <si>
    <t>Enviar planilha de envios dia 20 p/ Raquel; não usar portal para faturamento (RCF-V).</t>
  </si>
  <si>
    <t>SANCOR – Judicial</t>
  </si>
  <si>
    <t>Abertura: 24h; 1º contato: 24h; agendamento: imediato.</t>
  </si>
  <si>
    <t>Preliminar: 48h após análise dos documentos.</t>
  </si>
  <si>
    <t>Final: 5 dias após recebimento do último documento.</t>
  </si>
  <si>
    <t>Reiterações: a cada 7 dias.</t>
  </si>
  <si>
    <t>Prazo regular de regulação: 365 dias.</t>
  </si>
  <si>
    <t>Todos os pedidos de aprovação de timesheet devem ser encaminhados ao analista responsável, com o endereço sinistrosdespesas@fatorseguradora.com.br em cópia.</t>
  </si>
  <si>
    <t>SOMPO - RCV</t>
  </si>
  <si>
    <t>É necessário incluir em cópia oculta o endereço docsinistrotransportes@sompo.com.br</t>
  </si>
  <si>
    <t>No máximo 24h após o aviso</t>
  </si>
  <si>
    <t>07 dias úteis, mas buscando a possibilidade de reduzir em 5 dias úteis</t>
  </si>
  <si>
    <t xml:space="preserve">SLA DE ANÁLISE: Após o recebimento do relatório da Addvalora, o analista Sompo terá 05 dias úteis para passar o parecer ao analista da Corretora e pedir a documentação necessária para indenização ou alinhar possível negativa.
SLA DE INDENIZAÇÃO: Inicia-se após o analista Sompo receber os documentos necessários da Corretora para programar o pagamento da Indenização. 03 dias úteis a contar da data do recebimento da documentação exigida, incluindo: Documentação SUSEP, Termo de Quitação e Comprovante de pagamento do Segurado ao Terceiro, para que o beneficiário seja indenizado conforme a cobertura contratada.
Em relação aos documentos necessásrios para regulação / análise dos Sinistros:
DOCUMENTAÇÃO PADRÃO A SER SOLICITADA: Documentos Segurado
i.  Boletim de Ocorrência (B.O.);
ii. CNH do Condutor no momento do acidente;
iii.CRLV do Veículo Segurado;
iv. Aviso de sinistro do segurado (detalhando o evento e sua responsabilidade sobre a ocorrência);
v.  * Documentos do embarque: Nota fiscal da carga e Conhecimento de Transportes (CTe) e Manifesto de carga.
*documento necessário para consulta da averbação.
Documentos Terceiro (Vítima do Dano)
i.   CRLV do veículo do terceiro (se aplicável);
ii.  CNH do condutor do veículo terceiro (no momento do acidente) (se aplicável);
iii. Laudo de vistoria do veículo (emitido por oficina referenciada ou perito da seguradora) (se aplicável);
iv. Orçamento(s) do conserto do bem danificado (pelo menos 2 orçamentos);
v.  Notas fiscais dos serviços e/ou peças, caso o conserto já tenha sido efetuado;
vi. Dados bancários para reembolso / pagamento / Termo SUSEP
OBS.: Este é um seguro de reembolso. O pagamento ocorre ao segurado após comprovação do pagamento efetuado por ele. Pagamentos a terceiros apenas com autorização do segurado.
Documentos em caso de Perda Total do Veículo (para transferência para Sompo):
- IPVA quitado;
- DPVAT quitado;
- Licenciamento quitados;
- Multas quitadas ou “NADA CONSTA DO VEÍCULO”; e
- Baixa do gravame (se o veículo for financiado).
1.        Documentos Danos Corporais ou Morais
i.     Prontuários médicos;
ii.    Laudos ou atestados médicos;
iii.   Notas fiscais de despesas médicas;
iv.   Comprovantes de afastamento ou perda de renda (se aplicável);
v.    Documentos pessoais da vítima (RG, CPF, etc.);
vi.   Receituários Médicos (para os medicamentos);
vii.  Danos Corporais – Morte ou Invalidez;
viii. Laudo do IML e Atestado de óbito (em caso de morte);
ix.   Certidão Atualizada de nascimento e/ou casamento (em caso de morte);
x.    Contato e e-mail do representante do terceiro.
1.        Documentos para indenização
i.   Cópia do Contrato Social e última alteração;
ii.  Cópia do cartão CNPJ;
iii. Comprovante de endereço atualizado (com até 03 meses);
iv.  Cópia dos documentos dos sócios da empresa constante no Contrato Social ou Procuração e documentos outorgando o representante legal da empresa;
v.   Documentos pessoais (Pessoa Física)
vi.  Termo Susep 
vii. Termo de quitação do terceiro.
OBSERVAÇÃO IMPORTANTE: Ao receber documentos dos terceiros e/ou segurados, a Addvalora, no caso dos processos da AON, irá incluí-los no sistema da corretora (Aon - Web)."
</t>
  </si>
  <si>
    <t>SOMPO – ADM</t>
  </si>
  <si>
    <t>Copiar docsinistrore@sompo.com.br nas tratativas.</t>
  </si>
  <si>
    <t>N/A (contato rápido); agendamento imediato quando aplicável.</t>
  </si>
  <si>
    <t>Até 120 dias (regulação), quando aplicável.</t>
  </si>
  <si>
    <t>Timesheet aprovado antes do faturamento (quando aplicável).</t>
  </si>
  <si>
    <t>Atualizar planilha de lote quando aplicável; alguns casos com análise terceirizada (e-mail sompo).</t>
  </si>
  <si>
    <t>ZURICH – ADM</t>
  </si>
  <si>
    <t>SOL – https://internet2.minasbrasil.com.br/SinistroOnLine/Login.aspx</t>
  </si>
  <si>
    <t>Sim – comunicar analista por e-mail após inserir o Kit.</t>
  </si>
  <si>
    <t>Até 3h da contratação; agendamento imediato.</t>
  </si>
  <si>
    <t>3 dias após vistoria/documentos.</t>
  </si>
  <si>
    <t>72h após vistoria ou docs iniciais.</t>
  </si>
  <si>
    <t>7 dias após último documento (10 se houver perícia).</t>
  </si>
  <si>
    <t>15 dias.</t>
  </si>
  <si>
    <t>120 dias.</t>
  </si>
  <si>
    <t>Sim — enviar demonstrativo no Kit Faturamento.</t>
  </si>
  <si>
    <t>Sim — após aprovação do TS.</t>
  </si>
  <si>
    <t>Sim — enviar relatório final + kit no sistema e por e-mail.</t>
  </si>
  <si>
    <t>Inserir código '22' no nome do Kit; print do protocolo no Baruc; TS aprovado antes; hospedagem 3★; alimentação R$25; deslocamento R$1/km.</t>
  </si>
  <si>
    <t>ZURICH – ADM – Pepper</t>
  </si>
  <si>
    <t>Até 24h da contratação; agendamento imediato.</t>
  </si>
  <si>
    <t>7 dias úteis após vistoria ou docs iniciais.</t>
  </si>
  <si>
    <t>75 dias ou 5 reiterações.</t>
  </si>
  <si>
    <t>Mesmas regras da Zurich; código '22' no Kit; DRL/Interino em 7 dias; hospedagem 3★; alimentação R$25; deslocamento R$1/km.</t>
  </si>
  <si>
    <t>AKAD</t>
  </si>
  <si>
    <t>TYR  - https://tyr.akadseguros.com.br/claim</t>
  </si>
  <si>
    <t>Não — campo de assunto não deve ser alterado.</t>
  </si>
  <si>
    <t>24h abertura / contato com segurado.</t>
  </si>
  <si>
    <t>48h após acionamento.</t>
  </si>
  <si>
    <t>5 dias úteis após último documento.</t>
  </si>
  <si>
    <t>Sim</t>
  </si>
  <si>
    <t>Reiteração a cada 5 dias úteis (total de 14 reiterações)</t>
  </si>
  <si>
    <t>70 dias (prazo regular de regulação).</t>
  </si>
  <si>
    <t>10 % remoto/30% possível/55% provável</t>
  </si>
  <si>
    <t xml:space="preserve">Sim — relatório final </t>
  </si>
  <si>
    <t>Sim</t>
  </si>
  <si>
    <t>regulação elabora e envia através</t>
  </si>
  <si>
    <t xml:space="preserve">           Hora/H                    Até 100K        De 100k até 150k (17H)         
R$ 150,00                   17 horas                     sem limitador            </t>
  </si>
  <si>
    <t>AXA</t>
  </si>
  <si>
    <t>GIS– https://sinistro.axa.com.br/Portal/Base/Login/LoginPortal.aspx</t>
  </si>
  <si>
    <t>Sim - henrique.zolli@axa.com e caique.damasceno@axa.com</t>
  </si>
  <si>
    <t>5 dias úteis</t>
  </si>
  <si>
    <t>Modelo Addvalora no padrão AXA.</t>
  </si>
  <si>
    <t>Sim</t>
  </si>
  <si>
    <t>Reiteração a cada 15 dias úteis (total de 3 reiterações)</t>
  </si>
  <si>
    <t>45 dias (prazo regular de regulação).</t>
  </si>
  <si>
    <t>10 % remoto/40% possível/80% provável</t>
  </si>
  <si>
    <t>Carta de encerramento emitida pela Cia.</t>
  </si>
  <si>
    <t>Sim</t>
  </si>
  <si>
    <t>Sim</t>
  </si>
  <si>
    <t>Sim</t>
  </si>
  <si>
    <t>regulação elabora</t>
  </si>
  <si>
    <t>seguradora envia</t>
  </si>
  <si>
    <t xml:space="preserve">                Hora/H                 Até 40K                 De 40k até 80k              De 80k até 120k            Acima de 120k 
             R$ 170,00          R$ 1.783,30                R$ 2.517,60                    R$ 3.671,50                     R$ 4.720,50</t>
  </si>
  <si>
    <t>EXCELSIOR – RCP</t>
  </si>
  <si>
    <t>7 dias úteis após último documento.</t>
  </si>
  <si>
    <t>FAIRFAX – RCP</t>
  </si>
  <si>
    <r>
      <rPr>
        <sz val="11"/>
        <color rgb="FF000000"/>
        <rFont val="Arial"/>
      </rPr>
      <t xml:space="preserve">FF ID - </t>
    </r>
    <r>
      <rPr>
        <u/>
        <sz val="11"/>
        <color rgb="FF1155CC"/>
        <rFont val="Arial"/>
      </rPr>
      <t>https://ffid.fairfax.com.br/login</t>
    </r>
  </si>
  <si>
    <t>Sim — copiar sin-rc@fairfax.com.br e analista responsável. Final par Camilla, final ímpar David.</t>
  </si>
  <si>
    <t>7 dias úteis após últimos documentos.</t>
  </si>
  <si>
    <t>Modelo Addvalora no padrão Fairfax.</t>
  </si>
  <si>
    <t>Sim</t>
  </si>
  <si>
    <t xml:space="preserve">1ª Reiteração 7 dias   2ª Reiteração 7 dias     3ª Reiteração 15 dias </t>
  </si>
  <si>
    <t>20 % remoto/80% possível/81% provável</t>
  </si>
  <si>
    <t>DRL com cópia para sin-rc@fairfax.com.br; fechamento após 45 dias.</t>
  </si>
  <si>
    <t xml:space="preserve">               Hora/H          Expectativa (1H)      Até 100K (10H)       De 100k até 150k (17H)     Acima de 150k (27H)     RCPM
                 R$ 150,00                 R$ 150,00                 R$ 1.500,00                     R$ 2.550,00                 R$ 4.050,00              R$ 600,00 
</t>
  </si>
  <si>
    <t>KOVR – RCP</t>
  </si>
  <si>
    <t>Sim — copiar sinistro.responsabilidades@kovr.com.br em todos os e-mails.</t>
  </si>
  <si>
    <t>1ª reiteração 7 dias; 2ª 14 dias; 3ª 21 dias + 7 dias p/ encerramento.</t>
  </si>
  <si>
    <t>Sim — carta de encerramento pode ser emitida pelo regulador.</t>
  </si>
  <si>
    <t>PORTO SEGURO – RCP</t>
  </si>
  <si>
    <t>Portal de Negócios – https://wwws.portoseguro.com.br/portalnegocio/</t>
  </si>
  <si>
    <t>24h abertura e contato com segurado/corretor.</t>
  </si>
  <si>
    <t>email técnico até 10 dias úteis (sinistros &gt; R$100k).</t>
  </si>
  <si>
    <t>Reiterações: 7/7/7/7 dias</t>
  </si>
  <si>
    <t>30 dias (prazo regular de regulação).</t>
  </si>
  <si>
    <t>30 % remoto/60% possível/90% provável</t>
  </si>
  <si>
    <t>Sim</t>
  </si>
  <si>
    <t>Sim</t>
  </si>
  <si>
    <t>Sim</t>
  </si>
  <si>
    <t>Sim</t>
  </si>
  <si>
    <t>regulação elabora e envia através do triade</t>
  </si>
  <si>
    <t xml:space="preserve">          Hora/H                    limitado a                 
R$ 150,00                   20 horas         </t>
  </si>
  <si>
    <t>SOMBRERO – RCP</t>
  </si>
  <si>
    <t>Sim — copiar analistas (rodrigo.coelho, karina.calamita, daniel.pauli@sombreroseguros.com.br).</t>
  </si>
  <si>
    <t>Reiterações a cada 15 dias (6 ciclos + 15 dias p/ encerramento).</t>
  </si>
  <si>
    <t>90 dias (prazo regular de regulação).</t>
  </si>
  <si>
    <t>Sim — carta de encerramento emitida pelo regulador.</t>
  </si>
  <si>
    <t>BMG</t>
  </si>
  <si>
    <t>Sim</t>
  </si>
  <si>
    <t>Sem orientação a respeito, seguir padrão da Addvalora</t>
  </si>
  <si>
    <t>Sim</t>
  </si>
  <si>
    <t>Acusação de recebimento e inicio imediato da abertura</t>
  </si>
  <si>
    <t>12 horas para contato com o Tomador/Corretor após o recebimento do acionamento do sinistro</t>
  </si>
  <si>
    <t>48 horas úteis para contato com a Cia após o recebimento do acionamento do sinistro</t>
  </si>
  <si>
    <t>Após o pagamento por parte da Cia ou a negativa no processo de regulação</t>
  </si>
  <si>
    <t>Sim</t>
  </si>
  <si>
    <t>Não aplicável</t>
  </si>
  <si>
    <t>A cada 2 dias</t>
  </si>
  <si>
    <t xml:space="preserve">30 dias </t>
  </si>
  <si>
    <t>Sim</t>
  </si>
  <si>
    <t>Layout dos Ofícios: Template Cia
 Requer aprovação da Cia.: Não
 Cópia nas tratativas internas (Reguladora e Cia): analista e documentos.sinistros@bmgseguros.com.br
 Cópia nas tratativas externas (Tomador, Corretor e Patrono): documentos.sinistros@bmgseguros.com.br
 Ofícios – e-mails para recebimento de intimações: documentos.sinistros@bmgseguros.com.br e garantiajudicial@addvaloaglobal.com
 Carta de Provisionamento: obrigatória para indenizações acima de R$ 100.000,00
 Prazo para envio do Provisionamento: D-3
 Ressarcimento: não aplicável (com contrato)
 Sistema da Seguradora: Pipefy (dependente do pedido do analista)</t>
  </si>
  <si>
    <t>Essor</t>
  </si>
  <si>
    <t>Sim</t>
  </si>
  <si>
    <t>Sim</t>
  </si>
  <si>
    <t>Sim</t>
  </si>
  <si>
    <t>Layout dos Ofícios: Template Cia
 Requer aprovação da Cia.: Não Cópia nas tratativas internas (Reguladora e Cia.):brayssa.bercot@essor.com.br, sinistro.garantia@essor.com.br Em casos acima de R$ 200.000,00, incluir também: marcio.fetal@essor.com.br
 Cópia nas tratativas externas (Tomador, Corretor, Patrono): sinistro.garantia@essor.com.br
 Ofícios – e-mails para recebimento de intimações:sinistro.garantia@essor.com.br garantiajudicial@addvaloraglobal.com
 Carta de Provisionamento: Indenizações acima de R$ 200.000,00
 Prazo para envio do Provisionamento: D-3
 Ressarcimento: Sim
 Sistemas de Seguradoras:Não</t>
  </si>
  <si>
    <t>Excelsior</t>
  </si>
  <si>
    <t>Sim</t>
  </si>
  <si>
    <t>Sim</t>
  </si>
  <si>
    <t>Sim</t>
  </si>
  <si>
    <t>Sim</t>
  </si>
  <si>
    <t>Layout dos Ofícios: Template Cia
 Requer aprovação da Cia.: Não
 Cópia nas tratativas internas (Reguladora e Cia.): guilherme.otilio@excelsiorseguros.com.br, controladoria.dejur@excelsiorseguros.com.br marcos.dias@excelsiorseguros.com.br
 Cópia nas tratativas externas (Tomador, Corretor, Patrono): controladoria.dejur@excelsiorseguros.com.br
 Ofícios – e-mails para recebimento de intimações: marcos.dias@excelsiorseguros.com.br, controladoria.dejur@excelsiorseguros.com.br e garantiajudicial@addvaloraglobal.com
 Carta de Provisionamento: Sim
 Prazo para envio do Provisionamento: D-3
 Ressarcimento: Sim
 Sistemas de Seguradoras: GR5</t>
  </si>
  <si>
    <t>Sombrero</t>
  </si>
  <si>
    <t>Sim</t>
  </si>
  <si>
    <t>Sim</t>
  </si>
  <si>
    <t>Sim</t>
  </si>
  <si>
    <t>Sim</t>
  </si>
  <si>
    <t>Layout dos Ofícios: Template Cia
 Requer Aprovação da Cia.: Sim (teses novas)
 Quem copiar nas tratativas internas (Reguladora e Cia.):
 Para e-mails de rotina e pedidos de documentos (apólice, CCG, informações comerciais etc.): sinistros.garantia@sombreroseguros.com.br
 Para e-mails de tomada de decisão: daniel.pauli@sombreroseguros.com.br, leticia.maso@sombreroseguros.com.br, maria.monteiro@sombreroseguros.com.br, sinistros.garantia@sombreroseguros.com.br e barbara.nascimento@sombreroseguros.com.br
 Quem copiar nas tratativas externas (Tomador, Corretor, Patrono): sinistros.garantia@sombreroseguros.com.br
 Nos ofícios, colocar os seguintes e-mails para recebimento de intimação: sinistros.garantia@sombreroseguros.com.br e garantiajudicial@addvaloraglobal.com
 Carta de Provisionamento: Indenizações acima de 100k
 Prazo de Envio do Provisionamento: D-3
 Ressarcimento: Sim (necessita de autorização)
 Sistemas de Seguradoras: Sim – Gclaims</t>
  </si>
  <si>
    <t>Sompo</t>
  </si>
  <si>
    <t>Sim</t>
  </si>
  <si>
    <t>Sim</t>
  </si>
  <si>
    <t>Sim</t>
  </si>
  <si>
    <t>Layout dos Ofícios Template Cia
 Requer aprovação da Cia. Não
 Quem copiar nas tratativas internas (Reguladora e Cia.) flspio@sompo.com.br, epsantos@sompo.com.br e sinistrocorporativo@sompo.com.br 
 Quem copiar nas tratativas externas (Tomador, Corretor, Patrono) flspio@sompo.com.br, sinistrocorporativo@sompo.com.br
 Nos ofícios, colocar os seguintes e-mails para recebimento de intimação sinistrocorporativo@sompo.com.br e garantiajudicial@addvaloraglobal.com
 Carta de Provisionamento Sim 
 Prazo de Envio do Provisionamento D-3
 Ressarcimento Não
 Sistemas de Seguradoras Não</t>
  </si>
  <si>
    <t>Sim</t>
  </si>
  <si>
    <t>Sim</t>
  </si>
  <si>
    <t>5 dias uteis para elaboração da notificação extrajudicial</t>
  </si>
  <si>
    <t>Sim</t>
  </si>
  <si>
    <t>Sim</t>
  </si>
  <si>
    <t>Nota Fiscal na Notificação Extrajudicial: Não
 Duração do Ressarcimento Administrativo: 3 meses
 Layout dos Ofícios: Template Cia
 Requer Aprovação da Cia.: Não
 Tratativas com a Cia:
  daniel.pauli@sombreroseguros.com.br e maria.monteiro@sombreroseguros.com.br.
 Quem copiar nas tratativas externas (Tomador, Corretor, Patrono): maria.monteiro@sombreroseguros.com.br.
 Reenvio para novos endereços – Requer aprovação da Cia.: Sim
 Termo de Confissão de Dívida – Requer validação da Cia.: Sim
 Conferência de Crédito: maria.monteiro@sombreroseguros.com.br. Sistemas de Seguradoras: Sim – Gclaims</t>
  </si>
  <si>
    <t>Sim</t>
  </si>
  <si>
    <t>Sim</t>
  </si>
  <si>
    <t>Sim</t>
  </si>
  <si>
    <t>Nota Fiscal na Notificação Extrajudicial: Não
 Duração do Ressarcimento Administrativo: 3 meses
 Layout dos Ofícios: Template Cia
 Requer Aprovação da Cia.: Não
 Quem copiar nas tratativas internas (Reguladora e Cia.): ressarcimento@essor.com.br ; francisco.pereira@essor.com.br; sinistro.garantia@essor.com.br
 Quem copiar nas tratativas externas (Tomador, Corretor, Patrono): sinistro.garantia@essor.com.br
 Reenvio para novos endereços – Requer aprovação da Cia.: Não
 Termo de Confissão de Dívida – Requer validação da Cia.: Não
 Conferência de Crédito: ressarcimento@essor.com.br
 Ressarcimento Judicializado: rebecahilcko@hilckoehey.com.br; lucianahey@hilckoehey.com.br; taissaalmeida@hilckoehey.com.br; danilowosch@hilckoehey.com.br
 ; kauanegoncalves@hilckoehey.com.br</t>
  </si>
  <si>
    <t>Sim</t>
  </si>
  <si>
    <t>Sim</t>
  </si>
  <si>
    <t>Sim</t>
  </si>
  <si>
    <t>30 dias</t>
  </si>
  <si>
    <t>Sim</t>
  </si>
  <si>
    <t>Nota Fiscal na Notificação Extrajudicial: Sim
 Duração do Ressarcimento Administrativo: 3 meses, exceto casos acima de 300K (1 mês)
 Layout dos Ofícios: Template Cia
 Requer Aprovação da Cia.: Não
 Quem copiar nas tratativas internas (Reguladora e Cia.): controladoria.dejur@excelsiorseguros.com.br
 Quem copiar nas tratativas externas (Tomador, Corretor, Patrono): controladoria.dejur@excelsiorseguros.com.br
 Reenvio para novos endereços – Requer aprovação da Cia.: Sim
 Termo de Confissão de Dívida – Requer validação da Cia.: Sim
 Conferência de Crédito: angelita.campelo@excelsiorseguros.com.br
 Ressarcimento Judicializado: rebecahilcko@hilckoehey.com.br; lucianahey@hilckoehey.com.br ; taissaalmeida@hilckoehey.com.br ; danilowosch@hilckoehey.com.br ; kauanegoncalves@hilckoehey.com.br</t>
  </si>
  <si>
    <t>Avla</t>
  </si>
  <si>
    <t>Apenas nas tratativas internas (Seguradora e Addvalora).</t>
  </si>
  <si>
    <t>5 dias para contato com a Cia após o recebimento do acionamento do sinistro.</t>
  </si>
  <si>
    <t xml:space="preserve">5 dias contados da autorização para emissão do Relatório Final pela Cia. </t>
  </si>
  <si>
    <t>Sim</t>
  </si>
  <si>
    <t>Após 30 dias corridos da solicitação.</t>
  </si>
  <si>
    <t xml:space="preserve">30 dias corridos após a 2ª reiteração. </t>
  </si>
  <si>
    <t>Sim</t>
  </si>
  <si>
    <t>Layout dos Ofícios: Template Cia.
Forma de envio de correspondências: E-mail e formato PDF.
 Requer aprovação da Cia.: Sim, todas as cartas precisam ser validadas.
Quem assina as cartas: Addvalora.
Cópia nas tratativas internas (Reguladora e Cia): analista e Caixa Departamental sinistrobr.garantia@avla.com
 Cópia nas tratativas externas (Tomador, Corretor e Patrono): Caixa Departamental sinistrobr.garantia@avla.com
Concessão de prazos ao Segurado e Tomador: 15 dias corridos.
 Carta de Provisionamento: Sim.
Ressarcimento: não.</t>
  </si>
  <si>
    <t>Axa</t>
  </si>
  <si>
    <t>Sim</t>
  </si>
  <si>
    <t>Sim</t>
  </si>
  <si>
    <t xml:space="preserve">30 dias corridos após a 1ª reiteração. </t>
  </si>
  <si>
    <t>Sim</t>
  </si>
  <si>
    <t xml:space="preserve">Layout dos Ofícios: Template Cia.
Forma de envio de correspondências: E-mail (PDF) e Correios.
 Requer aprovação da Cia.: Sim, todas as cartas precisam ser validadas.
Quem assina as cartas: Analista AXA.
Cópia nas tratativas internas (Reguladora e Cia): analistas: claudia.morgado@axa.com; ingrid.machado@axa.com.
 Cópia nas tratativas externas (Tomador, Corretor e Patrono): analistas: claudia.morgado@axa.com; ingrid.machado@axa.com.
Concessão de prazos ao Segurado e Tomador: 15 dias corridos.
 Carta de Provisionamento: Sim.
Ressarcimento: não
Reclamatória trabalhista: Monitoramento: a cada 90 dias. Analisar a fase do processo e se for preciso monitorar em menor tempo.  Enviar parecer de atualização para a Cia dentro do prazo de 90 dias, mesmo que a reclamatória trabalhista não tenha movimentos relevantes.
</t>
  </si>
  <si>
    <t>Berkley</t>
  </si>
  <si>
    <t>Sim</t>
  </si>
  <si>
    <t>Sim</t>
  </si>
  <si>
    <t>Sim</t>
  </si>
  <si>
    <t>Sim</t>
  </si>
  <si>
    <t xml:space="preserve">Layout dos Ofícios: Template Cia.
Forma de envio de correspondências: E-mail e formato PDF.
 Requer aprovação da Cia.: Sim, todas as cartas precisam ser validadas.
Quem assina as cartas: Analista Cia.
Cópia nas tratativas internas (Reguladora e Cia): aferreira@berkley.com.br; ltureck@berkley.com.br; pquignoli@berkley.com.br
 Cópia nas tratativas externas (Tomador, Corretor e Patrono): aferreira@berkley.com.br; ltureck@berkley.com.br; pquignoli@berkley.com.br
Concessão de prazos ao Segurado e Tomador: 15 dias corridos.
 Carta de Provisionamento: Sim.
Ressarcimento: não.
</t>
  </si>
  <si>
    <t>Daycoval</t>
  </si>
  <si>
    <t>Sim</t>
  </si>
  <si>
    <t>5 dias (casos normais) e 3 dias (casos urgentes) para contato com a Cia após o recebimento do acionamento do sinistro.</t>
  </si>
  <si>
    <t xml:space="preserve">3 dias contados da autorização para emissão do Relatório Final pela Cia. </t>
  </si>
  <si>
    <t>Sim</t>
  </si>
  <si>
    <t xml:space="preserve">Não há reiteração. </t>
  </si>
  <si>
    <t>Não há reiteração.</t>
  </si>
  <si>
    <t>Sim</t>
  </si>
  <si>
    <t xml:space="preserve">Forma de envio de correspondências e Formato do Conteúdo: Todos os pareceres e correspondências serão encaminhados unicamente por via digital, no corpo do e-mail; exceto o relatório final e a notificação de pagamento espontâneo ao Tomador, que serão assinados por certificação digital e transmitidos em PDF anexado ao e-mail. Mantêm-se a ressalva de que havendo necessidade de envio físico de correspondências, haverá um custo referente as despesas de postagem e monitoramento do retorno do AR, de R$ 50,00 por carta/endereço diligenciado.
Monitoramento: Sim, semestral, com reporte via planilha do Excel.
Fluxo de atendimento padrão: 1. Recebimento da expectativa via Pipefy
 2. Análise inicial da Reclamatória Trabalhista (apuração de informações mínimas para apreciação de eventual cobertura, p. ex.: Local de Prestação de Serviço, Função, Jornada, Último Salário, Período Laborado, Pedidos e etc) em contraponto com a apólice emitida;
 3. Elaboração e envio de correspondências iniciais ao Segurado e ao Tomador, formalizando o registro da expectativa de sinistro e destacando o dever de manterem a Cia. atualizada sobre seus trâmites;
 4. Confecção de parecer para a Cia. compilando as informações coletadas, incluindo a fase do processo trabalhista;
 5. Suspensão da expectativa nos registros da Reguladora e da Seguradora (card irá para fase "reclamatória trabalhista em andamento").
 6. Faturamento dos honorários;
 7. Monitoramento semestral com reporte via planilha Excel.
Caso seja identificado o pagamento da condenação pelo Segurado: Se, nos monitoramentos periódicos, apurar-se a realização de pagamento de condenação pelo Segurado, a situação será reportada à Cia. para acompanhamento do prazo prescricional ânuo (o card migrará para a fase “Ag. Prazo Prescricional”), porém, não haverá a automática convolação da expectativa em sinistro, o que dependerá da formalização de reclamação de sinistro pelo Segurado, solicitando o respectivo reembolso, a partir do qual se adotará o seguinte fluxo:
 1. Formalização de reclamação de sinistro pelo Segurado;
 2. Solicitação de documentos adicionais, se houver necessidade, seguido de análise completa; emissão de parecer de convolação à Cia. e de notificação de pagamento espontâneo ao Tomador; elaboração do relatório final simplificado e envio ao Segurado (após validação da Cia.);
 3. Acompanhamento do retorno do TQP, validação dos documentos de representação e envio para programação de pagamento;
 4. Recepção do comprovante de pagamento fornecido pela Cia. e encaminhamento do Segurado;
 5. Encerramento da regulação com enfrentamento de mérito.
</t>
  </si>
  <si>
    <t>Sim</t>
  </si>
  <si>
    <t>Sim</t>
  </si>
  <si>
    <t>Sim</t>
  </si>
  <si>
    <t xml:space="preserve">Layout dos Ofícios: Template Cia.
Forma de envio de correspondências: E-mail (PDF). O envio pelos correios ocorrerá apenas se não houver endereço eletrônico válido das partes, mediante prévia anuência da Seguradora. (em casos que o nosso limitador seja de até 10k, enviar no corpo do e-mail)
 Requer aprovação da Cia.: Apenas cartas estratégicas precisam ser validadas com o analista.
Quem assina as cartas: Addvalora. Exceto: as cartas/RFR que encerramos o processo por negativa de pagamento de indenização devemos enviar à Seguradora para assinatura. 
Cópia nas tratativas internas (Reguladora e Cia): Analista Rayssa (rayssa.bercot@essor.com.br), com cópia para a Caixa departamental sinistro.garantia@essor.com.br.
 Cópia nas tratativas externas (Tomador, Corretor e Patrono): a Caixa departamental sinistro.garantia@essor.com.br.
Concessão de prazos ao Segurado e Tomador: 15 dias corridos
 Carta de Provisionamento: As reservas devem seguir o seguinte critério: Remoto (R$ 1,00), Possível (35% do valor reclamado), Provável (100% do valor reclamado). No CPJ, nos casos que o provisionamento não seja 100%, devemos indicar o valor estimado conforme mencionado para a Cia, inserido no campo resultado a seguinte descrição: Exemplo: O valor da multa é de R$ 2.465,00, porém, conforme orientação da Seguradora, em se tratando de risco possível, indicamos a reserva de 35% do valor (R$ 862,75).
Ressarcimento: Sim.
Monitoramento: a cada 3 meses a depender do andamento da ação trabalhista e alinhamento com a cia.
</t>
  </si>
  <si>
    <t>Sim</t>
  </si>
  <si>
    <t>Sim. Seguir padrão da Excelsior.</t>
  </si>
  <si>
    <t>Sim</t>
  </si>
  <si>
    <t>Sim</t>
  </si>
  <si>
    <t xml:space="preserve">Layout dos Ofícios: Template Cia.
Forma de envio de correspondências: E-mail (PDF) e Correios. (em casos que o nosso limitador seja de até 10k, enviar no corpo do e-mail)
 Requer aprovação da Cia.: Apenas cartas estratégicas precisam ser validadas com o analista.
Quem assina as cartas: Addvalora. Exceto: carta de negativa e baixa e relatório finais precisam ser assinados pela Cia. 
Cópia nas tratativas internas (Reguladora e Cia): gabriella.abreu@excelsiorseguros.com.br; fernanda.brito@excelsiorseguros.com.br; at@excelsiorseguros.com.br e a Caixa Departamental regulacao@excelsiorseguros.com.br.
Cópia nas tratativas externas (Tomador, Corretor e Patrono): a Caixa departamental regulacao@excelsiorseguros.com.br.
Concessão de prazos ao Segurado e Tomador: 15 dias corridos
 Carta de Provisionamento: Sim.
Ressarcimento: Sim.
Monitoramento da ação trabalhista: a cada 6 meses. 
</t>
  </si>
  <si>
    <t>HDI</t>
  </si>
  <si>
    <t>Sim</t>
  </si>
  <si>
    <t>Sim</t>
  </si>
  <si>
    <t>Pendente de alinhamento.</t>
  </si>
  <si>
    <t>Sim</t>
  </si>
  <si>
    <t xml:space="preserve">Layout dos Ofícios: Template Addvalora. Apenas Relatório Final e notificação para pagamento espontâneo seguem com a logo da Cia.
Forma de envio de correspondências: E-mail (PDF).
 Requer aprovação da Cia.: Todas as cartas.
Quem assina as cartas: Addvalora. 
Cópia nas tratativas internas (Reguladora e Cia): luciano.inovellini@br.hdi.global e 
janaina.duarte@br.hdi.global.
Cópia nas tratativas externas (Tomador, Corretor e Patrono): luciano.inovellini@br.hdi.global e  janaina.duarte@br.hdi.global.
</t>
  </si>
  <si>
    <t>Pottencial</t>
  </si>
  <si>
    <t>Sim</t>
  </si>
  <si>
    <t>Sim</t>
  </si>
  <si>
    <t>Após 30 dias corridos da solicitação. Necessário validação da Cia.</t>
  </si>
  <si>
    <t>Sim</t>
  </si>
  <si>
    <t xml:space="preserve">
 Para e-mails de rotina e pedidos de documentos (apólice, CCG, informações comerciais etc.):  flavia.marchiori@pottencial.com.br;
sinistro.terminodeobra@pottencial.com.br
Em fluxo de reuniões, copiar também:
debora.nunes@pottencial.com.br</t>
  </si>
  <si>
    <t>Sim</t>
  </si>
  <si>
    <t>Sim, padrão Addvalora e acréscimo número apólice.</t>
  </si>
  <si>
    <t>Sim</t>
  </si>
  <si>
    <t>Sim</t>
  </si>
  <si>
    <t xml:space="preserve">Layout dos Ofícios: Template Cia
Formato do envio das correspondências: E-mails. Envio físico em casos pontuais com autorização da Cia. 
 Requer Aprovação da Cia.: Correspondências de baixa, de negativa de indenização ou com posicionamento final da Seguradora - RFS (que envolva questões de mérito), precisam ser validadas.
Correspondências de impulso processual e de baixa sem ônus à Sombrero (sem cunho decisório), dispensam validação prévia.
 Quem copiar nas tratativas internas (Reguladora e Cia.): Quando for necessário aprovação de cartas/pareceres/relatórios: direcionar o email para Maria Monteiro (maria.monteiro@sombreroseguros.com.br) com cópia para Leticia Maso (leticia.maso@sombreroseguros.com.br);
•        Solicitação de CCG do Tomador: Idália Soares (idalia.soares@sombreroseguros.com.br) com cópia para Maria Monteiro (maria.monteiro@sombreroseguros.com.br);
•        Solicitação de convolação/pagamento do sinistro ou encerramento da expectativa: Idália Soares (idalia.soares@sombreroseguros.com.br) com cópia para Maria Monteiro (maria.monteiro@sombreroseguros.com.br), Leticia Maso (leticia.maso@sombreroseguros.com.br) e Daniel De Pauli (daniel.pauli@sombreroseguros.com.br);
•        Trocas de emails com os Segurados e Tomadores: Incluir apenas o e-mail do Sinistros Garantia (sinistros.garantia@sombreroseguros.com.br);
•        Atualizações sobre os processos: Sinistros Garantia (sinistros.garantia@sombreroseguros.com.br).
 Quem copiar nas tratativas externas (Tomador, Corretor, Patrono): sinistros.garantia@sombreroseguros.com.br
 Nos ofícios, colocar os seguintes e-mails para recebimento de intimação: sinistros.garantia@sombreroseguros.com.br 
 Carta de Provisionamento: Apenas em casos com sugestão de reserva acima de 100k. Abaixo desse valor, pode ser no corpo do e-mail.
Ressarcimento: Sim (necessita de autorização)
Sistemas de Seguradoras: Sim – Gclaims
 Monitoramento: a cada 90 dias. Analisar a fase do processo e a depender monitorar em menor tempo, podendo ser alinhado com a Cia.  </t>
  </si>
  <si>
    <t>Sim</t>
  </si>
  <si>
    <t>Sim</t>
  </si>
  <si>
    <t>Sim</t>
  </si>
  <si>
    <t>1. Quando o processo envolver mais de um contrato e apólice SOMPO, iremos registrar uma expectativa/sinistro em cada apólice, mas com o envio de uma única correspondência.
2.        Não é necessário fazer monitoramento das RTs.
3.        Encerrar o processo de forma imediata após o envio das cartas (não precisa esperar nenhum retorno das partes nem AR).</t>
  </si>
  <si>
    <t>Sim</t>
  </si>
  <si>
    <t>Sim</t>
  </si>
  <si>
    <t>Sim</t>
  </si>
  <si>
    <t>Sim</t>
  </si>
  <si>
    <t>Sim</t>
  </si>
  <si>
    <t xml:space="preserve">Layout dos Ofícios: Template Cia.
Forma de envio de correspondências: E-mail (PDF) e Correios.
 Requer aprovação da Cia.: Sim, todas as cartas precisam ser validadas.
Quem assina as cartas: Analista AXA.
Cópia nas tratativas internas (Reguladora e Cia): analistas: claudia.morgado@axa.com; ingrid.machado@axa.com.
 Cópia nas tratativas externas (Tomador, Corretor e Patrono): analistas: claudia.morgado@axa.com; ingrid.machado@axa.com.
Concessão de prazos ao Segurado e Tomador: 15 dias corridos.
 Carta de Provisionamento: Sim.
Ressarcimento: não
</t>
  </si>
  <si>
    <t>Sim</t>
  </si>
  <si>
    <t>Sim</t>
  </si>
  <si>
    <t>Sim</t>
  </si>
  <si>
    <t>Sim</t>
  </si>
  <si>
    <t>Sim</t>
  </si>
  <si>
    <t>Sim</t>
  </si>
  <si>
    <t>Sim</t>
  </si>
  <si>
    <t xml:space="preserve">Layout dos Ofícios: Template Cia.
Forma de envio de correspondências: E-mail (PDF). Envio físico em casos pontuais com prévia autorização da Cia.
 Requer aprovação da Cia.: Correspondências de impulso processual (sem cunho decisório): Em caso de apólices do setor público com IS igual ou superior a R$ 200.000,00 e para de apólices do setor privado com IS igual ou superior a R$ 100.000,00;
- Correspondências de baixa sem ônus à BMG (verificar hipóteses no item 4.2.1 da SLA): Em casos com IS igual ou superior a R$ 200.000,00, independentemente do setor ou modalidade da Apólice.
- Correspondências de negativa de indenização: todos os processos sob a condução da Addvalora, independentemente do ramo, complexidade e valor.
- Correspondências com posicionamento final da Seguradora (RFS): todos os processos sob a condução da Addvalora, independentemente do ramo, complexidade e valor.
Quem assina as cartas: Addvalora.
Cópia nas tratativas internas (Reguladora e Cia): Analista BMG e Caixa de Backup documentos.sinistros@bmgseguros.com.br.
 Cópia nas tratativas externas (Tomador, Corretor e Patrono): Caixa de Backup documentos.sinistros@bmgseguros.com.br.
Concessão de prazos ao Segurado e Tomador: Iniciais: 30 dias corridos
Intermediárias: 15 dias corridos
 Carta de Provisionamento: Apenas em casos com sugestão de reserva acima de 50k. Abaixo desse valor, será apenas o Formulário (Check-list) no corpo do e-mail.
Sempre informar em qual data ocorreu o fato gerador do sinistro (inadimplemento da multa aplicada – prazo final para pagamento espontâneo pelo Tomador ao Segurado).
Ressarcimento: não.
</t>
  </si>
  <si>
    <t>Sim</t>
  </si>
  <si>
    <t>Sim</t>
  </si>
  <si>
    <t xml:space="preserve">Layout dos Ofícios: Template Cia.
Forma de envio de correspondências: E-mail (PDF). O envio pelos correios ocorrerá apenas se não houver endereço eletrônico válido das partes, mediante prévia anuência da Seguradora. (em casos que o nosso limitador seja de até 10k, enviar no corpo do e-mail)
 Requer aprovação da Cia.: Apenas cartas estratégicas precisam ser validadas com o analista.
Quem assina as cartas: Addvalora. Exceto: as cartas/RFR que encerramos o processo por negativa de pagamento de indenização devemos enviar à Seguradora para assinatura. 
Cópia nas tratativas internas (Reguladora e Cia): Analista Rayssa (rayssa.bercot@essor.com.br), com cópia para a Caixa departamental sinistro.garantia@essor.com.br.
 Cópia nas tratativas externas (Tomador, Corretor e Patrono): a Caixa departamental sinistro.garantia@essor.com.br.
Concessão de prazos ao Segurado e Tomador: 15 dias corridos
 Carta de Provisionamento: As reservas devem seguir o seguinte critério: Remoto (R$ 1,00), Possível (35% do valor reclamado), Provável (100% do valor reclamado). No CPJ, nos casos que o provisionamento não seja 100%, devemos indicar o valor estimado conforme mencionado para a Cia, inserido no campo resultado a seguinte descrição: Exemplo: O valor da multa é de R$ 2.465,00, porém, conforme orientação da Seguradora, em se tratando de risco possível, indicamos a reserva de 35% do valor (R$ 862,75).
Ressarcimento: Sim.
</t>
  </si>
  <si>
    <t>Sim</t>
  </si>
  <si>
    <t>Sim</t>
  </si>
  <si>
    <t>Sim</t>
  </si>
  <si>
    <t xml:space="preserve">Layout dos Ofícios: Template Cia.
Forma de envio de correspondências: E-mail (PDF) e Correios. (em casos que o nosso limitador seja de até 10k, enviar no corpo do e-mail)
 Requer aprovação da Cia.: Apenas cartas estratégicas precisam ser validadas com o analista.
Quem assina as cartas: Addvalora. Exceto: carta de negativa e baixa e relatório finais precisam ser assinados pela Cia. 
Cópia nas tratativas internas (Reguladora e Cia): gabriella.abreu@excelsiorseguros.com.br; fernanda.brito@excelsiorseguros.com.br; at@excelsiorseguros.com.br e a Caixa Departamental regulacao@excelsiorseguros.com.br.
Cópia nas tratativas externas (Tomador, Corretor e Patrono): a Caixa departamental regulacao@excelsiorseguros.com.br.
Concessão de prazos ao Segurado e Tomador: 15 dias corridos
 Carta de Provisionamento: Sim.
Ressarcimento: Sim.
</t>
  </si>
  <si>
    <t>Sim</t>
  </si>
  <si>
    <t>Sim</t>
  </si>
  <si>
    <t>Sim</t>
  </si>
  <si>
    <t>Sim</t>
  </si>
  <si>
    <t>Sim</t>
  </si>
  <si>
    <t>Sim</t>
  </si>
  <si>
    <t>Para e-mails de rotina e pedidos de documentos (apólice, CCG, informações comerciais etc.):  flavia.marchiori@pottencial.com.br;
sinistro.terminodeobra@pottencial.com.br
Em fluxo de reuniões, copiar também:
debora.nunes@pottencial.com.br</t>
  </si>
  <si>
    <t>Sim</t>
  </si>
  <si>
    <t>Sim</t>
  </si>
  <si>
    <t>Sim</t>
  </si>
  <si>
    <t xml:space="preserve">Layout dos Ofícios: Template Cia
Formato do envio das correspondências: E-mails. Envio físico em casos pontuais com autorização da Cia. 
 Requer Aprovação da Cia.: Correspondências de baixa, de negativa de indenização ou com posicionamento final da Seguradora - RFS (que envolva questões de mérito), precisam ser validadas.
Correspondências de impulso processual e de baixa sem ônus à Sombrero (sem cunho decisório), dispensam validação prévia.
 Quem copiar nas tratativas internas (Reguladora e Cia.): Quando for necessário aprovação de cartas/pareceres/relatórios: direcionar o email para Maria Monteiro (maria.monteiro@sombreroseguros.com.br) com cópia para Leticia Maso (leticia.maso@sombreroseguros.com.br);
•        Solicitação de CCG do Tomador: Idália Soares (idalia.soares@sombreroseguros.com.br) com cópia para Maria Monteiro (maria.monteiro@sombreroseguros.com.br);
•        Solicitação de convolação/pagamento do sinistro ou encerramento da expectativa: Idália Soares (idalia.soares@sombreroseguros.com.br) com cópia para Maria Monteiro (maria.monteiro@sombreroseguros.com.br), Leticia Maso (leticia.maso@sombreroseguros.com.br) e Daniel De Pauli (daniel.pauli@sombreroseguros.com.br);
•        Trocas de emails com os Segurados e Tomadores: Incluir apenas o e-mail do Sinistros Garantia (sinistros.garantia@sombreroseguros.com.br);
•        Atualizações sobre os processos: Sinistros Garantia (sinistros.garantia@sombreroseguros.com.br).
 Quem copiar nas tratativas externas (Tomador, Corretor, Patrono): sinistros.garantia@sombreroseguros.com.br
 Nos ofícios, colocar os seguintes e-mails para recebimento de intimação: sinistros.garantia@sombreroseguros.com.br 
 Carta de Provisionamento: Apenas em casos com sugestão de reserva acima de 100k. Abaixo desse valor, pode ser no corpo do e-mail.
Ressarcimento: Sim (necessita de autorização)
Sistemas de Seguradoras: Sim – Gclaims
</t>
  </si>
  <si>
    <t>Sim</t>
  </si>
  <si>
    <t>Sim</t>
  </si>
  <si>
    <t>Sim</t>
  </si>
  <si>
    <t>Layout dos Ofícios Template Cia
 Requer aprovação da Cia. Não. Exceto cartas de baixas, negativas, posicionamento de cobertura, devem ser validadas pela Cia.
 Quem copiar nas tratativas internas (Reguladora e Cia.) flspio@sompo.com.br, epsantos@sompo.com.br e sinistrocorporativo@sompo.com.br 
 Quem copiar nas tratativas externas (Tomador, Corretor, Patrono) flspio@sompo.com.br, sinistrocorporativo@sompo.com.br
 Ressarcimento Não
 Sistemas de Seguradoras Não</t>
  </si>
  <si>
    <t>Inclusão do nome do empreendimento, e após seguir com o padrão Addvalora</t>
  </si>
  <si>
    <t>Sim</t>
  </si>
  <si>
    <t>Vistoria ocorrerá após análise da expectativa de sinistro, observados o envio das 3 (três) notificações pela CEF, e não identificado qualquer perda de direitos</t>
  </si>
  <si>
    <t>5 dias após o recebimento da expectativa de sinistro/sinistro pela Reguladora</t>
  </si>
  <si>
    <t xml:space="preserve">Após a realização da vistoria </t>
  </si>
  <si>
    <t>Sim</t>
  </si>
  <si>
    <t>Sim</t>
  </si>
  <si>
    <t>15 dias</t>
  </si>
  <si>
    <t>Apenas ao Segurado, 30 dias corridos após a 1ª reiteração.</t>
  </si>
  <si>
    <t>Sim</t>
  </si>
  <si>
    <t>Para e-mails de rotina e pedidos de documentos (apólice, CCG, informações comerciais etc.):  flavia.marchiori@pottencial.com.br; sinistro.terminodeobra@pottencial.com.br
Em fluxo de reuniões, copiar também: debora.nunes@pottencial.com.br</t>
  </si>
  <si>
    <t>Sim</t>
  </si>
  <si>
    <t>Sim</t>
  </si>
  <si>
    <t>Após a confecção da orçamentação</t>
  </si>
  <si>
    <t>Sim</t>
  </si>
  <si>
    <t>Sim</t>
  </si>
  <si>
    <t>Sim</t>
  </si>
  <si>
    <t>BMG / Daycoval</t>
  </si>
  <si>
    <t>Sim. Mas para o Boticário não se uiliza pois o sistema da Daycoval passará por mudanças</t>
  </si>
  <si>
    <t>Sem orientação a respeito. Seguir padrão da Addvalora</t>
  </si>
  <si>
    <t>Sim e também a caixa departamental</t>
  </si>
  <si>
    <t>Conforme agendamento / apresentar a sintese até 48h após a vistoria e não colher assinatua do segurado no momento da vistoria</t>
  </si>
  <si>
    <r>
      <rPr>
        <sz val="11"/>
        <color rgb="FF000000"/>
        <rFont val="Calibri"/>
      </rPr>
      <t>Até 5 dias úteis após último documento 
 (</t>
    </r>
    <r>
      <rPr>
        <b/>
        <sz val="11"/>
        <color rgb="FF000000"/>
        <rFont val="Calibri"/>
      </rPr>
      <t>Vide observações na coluna outros assuntos)</t>
    </r>
  </si>
  <si>
    <t>Sim</t>
  </si>
  <si>
    <t>A cada 15 dias. 
 Obs. Tem lista predefinida de documentos para alguns tipos de sinistros (vide documento denominado "Protocolo de sinistro")</t>
  </si>
  <si>
    <t>Completados 2 meses ( 60 dias ) da solicitação de documentos, a Seguradora encaminhará ao Franquea-do/Segurado a notificação de encerramento, com o encerramento formalizado à área de Seguros em ( 90 dias ), com o envio da Carta de Encerramento ao final do prazo de ( 120 dias ).</t>
  </si>
  <si>
    <t>Conforme apólice (tem particularidades e cláusula de valor de novo)
 7ª Cláusula Particular - Critério de Indenização
 a. Padronização de Loja (Maquinismos, Moveis, Utensílios): Valor de Nova, limitada a 02
 (duas) vezes ao Valor Atual;
 b. Padronização de Loja Descontinuada (Maquinismos, Moveis, Utensílios): Valor de Novo
 da padronização mais recente, limitada a 02 (duas) vezes o valor da padronização descontinuada;
 c. Edificações e Instalações: Custos de reconstrução do imóvel, incluindo instalações como piso, iluminação e benfeitorias, ainda que o imóvel pertença a terceiros. c. d. Mercadorias:
 d. Conforme valor de nota fiscal de aquisição, acrescido de TRF(taxa de remuneração de Franquia) até 45% (quarenta e cinco por cento) do valor total de suas compras de produtos
 O Boticário, quem disse, Berenice?, O.U.I. – Original Unique Individuel, e até 65% (sessenta e cinco por cento) do valor total de suas compras de produtos Eudora (sell in) e
 REM (Recuperação de Esforço de Marketing) até 15%, sempre limitado ao VRD (Valor em Risco Declarado) de cada local; e
 e. eventuais impostos comprovados conforme política fiscal adotada pelo Segurado, não limitados ao VRD de cada local.
 f. Infraestrutura de TI da loja: Será considerado o Valor de Novo Total do Kit danificado – Neste item de valor de novo entram também os celulares. Portanto não se aplica depreciação</t>
  </si>
  <si>
    <t>Sim . Primeiro apresenta a planilha de apuração ao segurado e estando de acordo, envio do relatório para a seguradora, que por sua vez fará a análise e autorizará e elaboração do termo de pagamento</t>
  </si>
  <si>
    <t>Sim</t>
  </si>
  <si>
    <t>Sim</t>
  </si>
  <si>
    <t>Sim</t>
  </si>
  <si>
    <t>Sim. Elaboramos a carta e enviamos para análise da seguradora</t>
  </si>
  <si>
    <r>
      <rPr>
        <sz val="11"/>
        <color rgb="FF000000"/>
        <rFont val="Calibri"/>
      </rPr>
      <t xml:space="preserve">*Caixa departamental: documentos.sinistros@bmgseguros.com.br
 *Tem modelo Termo de Pagamento e Demonstrativo de Prejuízos 
 *O contato direto com o segurado é somente para agendamento da vistoria, posteriormente todos dos demais contatos serão via corretor
 *Aplicação TRF ( Franchising) - O percentual varia para cada tipo de risco, desta forma, o corretor sempre fornecerá o percentual correto a ser aplicado para cada caso. A TRF aplicasse sobre os valores das mercadorias reclamadas e está acordado na apólice.
 *Na vistoria colher as informações presentes na" ficha de risco" e posteriormente enviar a ficha preenchida juntamente com o relatório preliminar.
 *Tem modelo de planilha de apuração ( Pendências em amarelo e laranja – Estas cores representam a legenda de pendências acordadas com o corretor, que quando identificadas, devemos apontar na planilha de apuração) . Não pode haver alteração das cores e no modelo da planilha
 *Quando recebermos os documentos e logo já identificarmos pendências e estas pendências não permitam avançar com a apuração, sugiro que a resposta tenha que ocorrer o mais breve possível ao corretor indicando as referidas pendências. No caso de recebermos documentos parciais e também identificado pendências, devolvemos a pendência ao corretor e indicamos que os demais documentos serão analisados.
 * Sempre que já tivermos documentos parciais e ou totais, referente a apuração, devemos enviar a planilha ao corretor com a apuraçãol. Nos casos que não recebemos documentos que permitam a apuração ou estejam divergentes, apontar na planilha estas pendências e ou divergências. Em resumo, a planilha tem que ser enviada, seja para apuração parcial ou final. Após o segurado concordar com o valor da planilha de apuração, devemos enviar o relatório final para análise da seguradora e por sua vez irá analisar e sinalizar se podemos enviar o termo de pagemento e o demonstrativo ao segurado para assinatura
 </t>
    </r>
    <r>
      <rPr>
        <b/>
        <sz val="11"/>
        <color rgb="FF000000"/>
        <rFont val="Calibri"/>
      </rPr>
      <t>Sinistros até R$ 30.000,00 de Prejuízos:</t>
    </r>
    <r>
      <rPr>
        <sz val="11"/>
        <color rgb="FF000000"/>
        <rFont val="Calibri"/>
      </rPr>
      <t xml:space="preserve">
 Quando do recebimento dos documentos,</t>
    </r>
    <r>
      <rPr>
        <b/>
        <sz val="11"/>
        <color rgb="FF000000"/>
        <rFont val="Calibri"/>
      </rPr>
      <t xml:space="preserve"> a reguladora terá até 5 úteis dias para analisar tais documen-tos e se for o caso reiterar a solicitação dos documentos que não foram encaminhados.</t>
    </r>
    <r>
      <rPr>
        <sz val="11"/>
        <color rgb="FF000000"/>
        <rFont val="Calibri"/>
      </rPr>
      <t xml:space="preserve">
 </t>
    </r>
    <r>
      <rPr>
        <b/>
        <sz val="11"/>
        <color rgb="FF000000"/>
        <rFont val="Calibri"/>
      </rPr>
      <t>Se os documentos estiverem completos a reguladora encaminhará o demonstrativo dos prejuízos para análise e de acordo do Segurado, juntamente com o termo de quitação para preenchimento (dentro dos 5 dias úteis).</t>
    </r>
    <r>
      <rPr>
        <sz val="11"/>
        <color rgb="FF000000"/>
        <rFont val="Calibri"/>
      </rPr>
      <t xml:space="preserve">
 Após o recebimento do “de acordo” e do termo de quitação contendo os dados bancários, a Seguradora tem 10 dias corridos para realizar o pagamento da indenização.
 </t>
    </r>
    <r>
      <rPr>
        <b/>
        <sz val="11"/>
        <color rgb="FF000000"/>
        <rFont val="Calibri"/>
      </rPr>
      <t>Sinistros Superiores a R$ 30.000,00 de Prejuízos:</t>
    </r>
    <r>
      <rPr>
        <sz val="11"/>
        <color rgb="FF000000"/>
        <rFont val="Calibri"/>
      </rPr>
      <t xml:space="preserve">
 Num primeiro momento, devem ser seguidos os prazos estipulados para os casos até (R$ 30.000,00). Po-rém, a depender da complexidade da ocorrência, os prazos serão revisados caso a caso.
</t>
    </r>
    <r>
      <rPr>
        <b/>
        <sz val="11"/>
        <color rgb="FF000000"/>
        <rFont val="Calibri"/>
      </rPr>
      <t xml:space="preserve"> Existe um documento denominado Protocolo de Sinistro, onde constam todas as particularidades das tratativas dos processos Boticário ( procurar o coordenador para obter a cópia do documento)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</si>
</sst>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color rgb="FF000000"/>
      <name val="Calibri"/>
      <scheme val="minor"/>
    </font>
    <font>
      <b/>
      <sz val="11"/>
      <color rgb="FF000000"/>
      <name val="Arial"/>
    </font>
    <font>
      <sz val="11"/>
      <color rgb="FF000000"/>
      <name val="Arial"/>
    </font>
    <font>
      <u/>
      <sz val="11"/>
      <color rgb="FF000000"/>
      <name val="Arial"/>
    </font>
    <font>
      <sz val="11"/>
      <color theme="1"/>
      <name val="Arial"/>
    </font>
    <font>
      <b/>
      <sz val="11"/>
      <color theme="1"/>
      <name val="Arial"/>
    </font>
    <font>
      <sz val="11"/>
      <color rgb="FFFF0000"/>
      <name val="Arial"/>
    </font>
    <font>
      <sz val="11"/>
      <color rgb="FF000000"/>
      <name val="Calibri"/>
    </font>
    <font>
      <b/>
      <sz val="16"/>
      <color rgb="FF1F4E78"/>
      <name val="Aptos Narrow"/>
    </font>
    <font>
      <i/>
      <sz val="11"/>
      <color rgb="FF666666"/>
      <name val="Aptos Narrow"/>
    </font>
    <font>
      <b/>
      <sz val="12"/>
      <color rgb="FF1A365D"/>
      <name val="Aptos Narrow"/>
    </font>
    <font>
      <b/>
      <sz val="12"/>
      <color rgb="FF000000"/>
      <name val="Aptos Narrow"/>
    </font>
    <font>
      <i/>
      <sz val="10"/>
      <color rgb="FF666666"/>
      <name val="Aptos Narrow"/>
    </font>
    <font>
      <sz val="10"/>
      <name val="Calibri"/>
      <scheme val="minor"/>
    </font>
    <font>
      <sz val="10"/>
      <color rgb="FF1A365D"/>
      <name val="Calibri"/>
      <scheme val="minor"/>
    </font>
    <font>
      <b/>
      <sz val="16"/>
      <color rgb="FF1A365D"/>
      <name val="Aptos Narrow"/>
    </font>
    <font>
      <b/>
      <sz val="14"/>
      <color rgb="FFFFFFFF"/>
      <name val="Aptos Narrow"/>
    </font>
    <font>
      <b/>
      <sz val="11"/>
      <color rgb="FF888888"/>
      <name val="Aptos Narrow"/>
    </font>
    <font>
      <b/>
      <sz val="11"/>
      <name val="Aptos Narrow"/>
    </font>
    <font>
      <b/>
      <sz val="11"/>
      <color rgb="FF1A365D"/>
      <name val="Aptos Narrow"/>
    </font>
    <font>
      <b/>
      <sz val="11"/>
      <color rgb="FFFFFFFF"/>
      <name val="Aptos Narrow"/>
    </font>
    <font>
      <i/>
      <sz val="10"/>
      <color rgb="FF333333"/>
      <name val="Aptos Narrow"/>
    </font>
    <font>
      <b/>
      <sz val="10"/>
      <color rgb="FFFFFFFF"/>
      <name val="Aptos Narrow"/>
    </font>
    <font>
      <sz val="9"/>
      <color rgb="FF333333"/>
      <name val="Aptos Narrow"/>
    </font>
    <font>
      <sz val="10"/>
      <color rgb="FF806000"/>
      <name val="Aptos Narrow"/>
    </font>
    <font>
      <sz val="10"/>
      <color theme="1"/>
      <name val="Arial"/>
    </font>
    <font>
      <sz val="10"/>
      <color rgb="FF000000"/>
      <name val="Arial"/>
    </font>
    <font>
      <b/>
      <u/>
      <sz val="11"/>
      <color rgb="FF000000"/>
      <name val="Arial"/>
    </font>
    <font>
      <u/>
      <sz val="11"/>
      <color rgb="FF1155CC"/>
      <name val="Arial"/>
    </font>
    <font>
      <b/>
      <sz val="11"/>
      <color rgb="FF000000"/>
      <name val="Calibri"/>
    </font>
  </fonts>
  <fills count="23">
    <fill>
      <patternFill patternType="none"/>
    </fill>
    <fill>
      <patternFill patternType="gray125"/>
    </fill>
    <fill>
      <patternFill patternType="solid">
        <fgColor rgb="FFA9D08E"/>
      </patternFill>
    </fill>
    <fill>
      <patternFill patternType="solid">
        <fgColor rgb="FFD9EAD3"/>
      </patternFill>
    </fill>
    <fill>
      <patternFill patternType="solid">
        <fgColor rgb="FFFFFFFF"/>
      </patternFill>
    </fill>
    <fill>
      <patternFill patternType="solid">
        <fgColor theme="0"/>
      </patternFill>
    </fill>
    <fill>
      <patternFill patternType="solid">
        <fgColor rgb="FFE2EFDA"/>
      </patternFill>
    </fill>
    <fill>
      <patternFill patternType="solid">
        <fgColor rgb="FFF7F7F7"/>
      </patternFill>
    </fill>
    <fill>
      <patternFill patternType="solid">
        <fgColor rgb="FFFFFF00"/>
      </patternFill>
    </fill>
    <fill>
      <patternFill patternType="solid">
        <fgColor rgb="FFE8F4F8"/>
      </patternFill>
    </fill>
    <fill>
      <patternFill patternType="solid">
        <fgColor rgb="FF1F4E78"/>
      </patternFill>
    </fill>
    <fill>
      <patternFill patternType="solid">
        <fgColor rgb="FFF0F0F0"/>
      </patternFill>
    </fill>
    <fill>
      <patternFill patternType="solid">
        <fgColor rgb="FF2E7D32"/>
      </patternFill>
    </fill>
    <fill>
      <patternFill patternType="solid">
        <fgColor rgb="FFFFFFFF"/>
      </patternFill>
    </fill>
    <fill>
      <patternFill patternType="solid">
        <fgColor rgb="FF6A1B9A"/>
      </patternFill>
    </fill>
    <fill>
      <patternFill patternType="solid">
        <fgColor rgb="FFE65100"/>
      </patternFill>
    </fill>
    <fill>
      <patternFill patternType="solid">
        <fgColor rgb="FF5D4037"/>
      </patternFill>
    </fill>
    <fill>
      <patternFill patternType="solid">
        <fgColor rgb="FF00695C"/>
      </patternFill>
    </fill>
    <fill>
      <patternFill patternType="solid">
        <fgColor rgb="FF4472C4"/>
      </patternFill>
    </fill>
    <fill>
      <patternFill patternType="solid">
        <fgColor rgb="FFD6DCE5"/>
      </patternFill>
    </fill>
    <fill>
      <patternFill patternType="solid">
        <fgColor rgb="FF8FAADC"/>
      </patternFill>
    </fill>
    <fill>
      <patternFill patternType="solid">
        <fgColor rgb="FFF2F2F2"/>
      </patternFill>
    </fill>
    <fill>
      <patternFill patternType="solid">
        <fgColor rgb="FFFFF2CC"/>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top/>
      <bottom style="thin">
        <color rgb="FFDDDDDD"/>
      </bottom>
      <diagonal/>
    </border>
    <border>
      <left/>
      <right/>
      <top/>
      <bottom style="thin">
        <color rgb="FFE0E0E0"/>
      </bottom>
      <diagonal/>
    </border>
    <border>
      <left/>
      <right/>
      <top/>
      <bottom style="thin">
        <color rgb="FFD9D9D9"/>
      </bottom>
      <diagonal/>
    </border>
  </borders>
  <cellStyleXfs count="1">
    <xf numFmtId="0" fontId="0" fillId="0" borderId="0"/>
  </cellStyleXfs>
  <cellXfs count="92">
    <xf numFmtId="0" fontId="0" fillId="0" borderId="0" xfId="0"/>
    <xf numFmtId="49" fontId="10" fillId="7" borderId="0" xfId="0" applyNumberFormat="1" applyFont="1" applyFill="1" applyAlignment="1">
      <alignment horizontal="right" vertical="center"/>
    </xf>
    <xf numFmtId="0" fontId="13" fillId="7" borderId="0" xfId="0" applyFont="1" applyFill="1" applyAlignment="1">
      <alignment vertical="top"/>
    </xf>
    <xf numFmtId="0" fontId="18" fillId="11" borderId="0" xfId="0" applyFont="1" applyFill="1" applyAlignment="1">
      <alignment horizontal="right" vertical="top"/>
    </xf>
    <xf numFmtId="0" fontId="22" fillId="20" borderId="0" xfId="0" applyFont="1" applyFill="1" applyAlignment="1">
      <alignment horizontal="center" vertical="top"/>
    </xf>
    <xf numFmtId="0" fontId="23" fillId="21" borderId="10" xfId="0" applyFont="1" applyFill="1" applyBorder="1" applyAlignment="1">
      <alignment horizontal="left" vertical="top"/>
    </xf>
    <xf numFmtId="0" fontId="1"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1" fillId="3" borderId="2" xfId="0" applyFont="1" applyFill="1" applyBorder="1" applyAlignment="1">
      <alignment vertical="center"/>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2" fillId="0" borderId="2" xfId="0" applyFont="1" applyBorder="1" applyAlignment="1">
      <alignment horizontal="left" vertical="center" wrapText="1"/>
    </xf>
    <xf numFmtId="0" fontId="2" fillId="0" borderId="0" xfId="0" applyFont="1" applyAlignment="1">
      <alignment vertical="center"/>
    </xf>
    <xf numFmtId="0" fontId="1" fillId="3" borderId="2" xfId="0" applyFont="1" applyFill="1" applyBorder="1" applyAlignment="1">
      <alignment horizontal="left" vertical="center"/>
    </xf>
    <xf numFmtId="0" fontId="3" fillId="0" borderId="2" xfId="0" applyFont="1" applyBorder="1" applyAlignment="1">
      <alignment horizontal="center" vertical="center" wrapText="1"/>
    </xf>
    <xf numFmtId="0" fontId="2" fillId="0" borderId="0" xfId="0" applyFont="1" applyAlignment="1">
      <alignment horizontal="left" vertical="center"/>
    </xf>
    <xf numFmtId="0" fontId="1" fillId="0" borderId="2" xfId="0" applyFont="1" applyBorder="1" applyAlignment="1">
      <alignment vertical="center" wrapText="1"/>
    </xf>
    <xf numFmtId="0" fontId="1" fillId="0" borderId="0" xfId="0" applyFont="1" applyAlignme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0" fontId="1" fillId="2" borderId="2" xfId="0" applyFont="1" applyFill="1" applyBorder="1" applyAlignment="1">
      <alignment horizontal="center" vertical="center"/>
    </xf>
    <xf numFmtId="0" fontId="2" fillId="4" borderId="2" xfId="0" applyFont="1" applyFill="1" applyBorder="1" applyAlignment="1">
      <alignment horizontal="left" vertical="center" wrapText="1"/>
    </xf>
    <xf numFmtId="0" fontId="2" fillId="4" borderId="2" xfId="0" applyFont="1" applyFill="1" applyBorder="1" applyAlignment="1">
      <alignment horizontal="left" vertical="center"/>
    </xf>
    <xf numFmtId="0" fontId="1" fillId="4" borderId="2" xfId="0" applyFont="1" applyFill="1" applyBorder="1" applyAlignment="1">
      <alignment horizontal="left" vertical="center"/>
    </xf>
    <xf numFmtId="0" fontId="1" fillId="4" borderId="0" xfId="0" applyFont="1" applyFill="1" applyAlignment="1">
      <alignment horizontal="left" vertical="center"/>
    </xf>
    <xf numFmtId="0" fontId="2" fillId="4" borderId="0" xfId="0" applyFont="1" applyFill="1" applyAlignment="1">
      <alignment horizontal="left" vertical="center" wrapText="1"/>
    </xf>
    <xf numFmtId="0" fontId="4" fillId="4" borderId="0" xfId="0" applyFont="1" applyFill="1" applyAlignment="1">
      <alignment horizontal="left" vertical="center" wrapText="1"/>
    </xf>
    <xf numFmtId="0" fontId="1" fillId="4" borderId="0" xfId="0" applyFont="1" applyFill="1" applyAlignment="1">
      <alignment horizontal="left" vertical="center" wrapText="1"/>
    </xf>
    <xf numFmtId="0" fontId="6" fillId="4" borderId="0" xfId="0" applyFont="1" applyFill="1" applyAlignment="1">
      <alignment horizontal="left" vertical="center" wrapText="1"/>
    </xf>
    <xf numFmtId="0" fontId="5" fillId="4" borderId="0" xfId="0" applyFont="1" applyFill="1" applyAlignment="1">
      <alignment horizontal="left" vertical="center"/>
    </xf>
    <xf numFmtId="0" fontId="4" fillId="4" borderId="0" xfId="0" applyFont="1" applyFill="1" applyAlignment="1">
      <alignment horizontal="left" vertical="center"/>
    </xf>
    <xf numFmtId="0" fontId="4" fillId="4"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4" borderId="2" xfId="0" applyFont="1" applyFill="1" applyBorder="1" applyAlignment="1">
      <alignment horizontal="center" vertical="center"/>
    </xf>
    <xf numFmtId="0" fontId="2" fillId="4" borderId="2" xfId="0" applyFont="1" applyFill="1" applyBorder="1" applyAlignment="1">
      <alignment horizontal="center" vertical="center" wrapText="1"/>
    </xf>
    <xf numFmtId="0" fontId="2" fillId="5" borderId="2" xfId="0" applyFont="1" applyFill="1" applyBorder="1" applyAlignment="1">
      <alignment horizontal="center" vertical="center"/>
    </xf>
    <xf numFmtId="0" fontId="1" fillId="5" borderId="2" xfId="0" applyFont="1" applyFill="1" applyBorder="1" applyAlignment="1">
      <alignment horizontal="center" vertical="center"/>
    </xf>
    <xf numFmtId="0" fontId="2" fillId="4" borderId="2" xfId="0" applyFont="1" applyFill="1" applyBorder="1" applyAlignment="1">
      <alignment vertical="center" wrapText="1"/>
    </xf>
    <xf numFmtId="0" fontId="1" fillId="4" borderId="2" xfId="0" applyFont="1" applyFill="1" applyBorder="1" applyAlignment="1">
      <alignment horizontal="center" vertical="center"/>
    </xf>
    <xf numFmtId="0" fontId="3" fillId="5" borderId="2"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0" xfId="0" applyFont="1" applyFill="1" applyAlignment="1">
      <alignment horizontal="center" vertical="center"/>
    </xf>
    <xf numFmtId="0" fontId="2" fillId="4" borderId="0" xfId="0" applyFont="1" applyFill="1" applyAlignment="1">
      <alignment vertical="center" wrapText="1"/>
    </xf>
    <xf numFmtId="0" fontId="4" fillId="4" borderId="0" xfId="0" applyFont="1" applyFill="1" applyAlignment="1">
      <alignment horizontal="center" vertical="center" wrapText="1"/>
    </xf>
    <xf numFmtId="0" fontId="1" fillId="4" borderId="0" xfId="0" applyFont="1" applyFill="1" applyAlignment="1">
      <alignment vertical="center" wrapText="1"/>
    </xf>
    <xf numFmtId="0" fontId="6" fillId="4" borderId="0" xfId="0" applyFont="1" applyFill="1" applyAlignment="1">
      <alignment horizontal="center" vertical="center"/>
    </xf>
    <xf numFmtId="0" fontId="2" fillId="4" borderId="0" xfId="0" applyFont="1" applyFill="1" applyAlignment="1">
      <alignment vertical="center"/>
    </xf>
    <xf numFmtId="0" fontId="4" fillId="4" borderId="0" xfId="0" applyFont="1" applyFill="1" applyAlignment="1">
      <alignment vertical="center"/>
    </xf>
    <xf numFmtId="0" fontId="4" fillId="4" borderId="0" xfId="0" applyFont="1" applyFill="1"/>
    <xf numFmtId="0" fontId="2" fillId="0" borderId="2" xfId="0" applyFont="1" applyBorder="1" applyAlignment="1">
      <alignment horizontal="center" vertical="center"/>
    </xf>
    <xf numFmtId="0" fontId="2" fillId="0" borderId="2" xfId="0" applyFont="1" applyBorder="1" applyAlignment="1">
      <alignment horizontal="left" vertical="center"/>
    </xf>
    <xf numFmtId="0" fontId="2" fillId="0" borderId="0" xfId="0" applyFont="1" applyAlignment="1">
      <alignment horizontal="center" vertical="center"/>
    </xf>
    <xf numFmtId="0" fontId="4" fillId="0" borderId="0" xfId="0" applyFont="1" applyAlignment="1">
      <alignment horizontal="center" vertical="center"/>
    </xf>
    <xf numFmtId="0" fontId="1" fillId="3" borderId="2" xfId="0" applyFont="1" applyFill="1" applyBorder="1" applyAlignment="1">
      <alignment horizontal="left" vertical="center" wrapText="1"/>
    </xf>
    <xf numFmtId="0" fontId="25" fillId="0" borderId="0" xfId="0" applyFont="1" applyAlignment="1">
      <alignment horizontal="center" vertical="center" wrapText="1"/>
    </xf>
    <xf numFmtId="0" fontId="1" fillId="0" borderId="2" xfId="0" applyFont="1" applyBorder="1" applyAlignment="1">
      <alignment horizontal="center" vertical="center"/>
    </xf>
    <xf numFmtId="0" fontId="26" fillId="0" borderId="0" xfId="0" applyFont="1" applyAlignment="1">
      <alignment horizontal="center" vertical="center"/>
    </xf>
    <xf numFmtId="0" fontId="25" fillId="0" borderId="0" xfId="0" applyFont="1" applyAlignment="1">
      <alignment horizontal="center" vertical="center"/>
    </xf>
    <xf numFmtId="0" fontId="25" fillId="0" borderId="0" xfId="0" applyFont="1"/>
    <xf numFmtId="0" fontId="7" fillId="6" borderId="2" xfId="0" applyFont="1" applyFill="1" applyBorder="1" applyAlignment="1">
      <alignment horizontal="center" vertical="center"/>
    </xf>
    <xf numFmtId="0" fontId="7" fillId="5" borderId="2" xfId="0" applyFont="1" applyFill="1" applyBorder="1" applyAlignment="1">
      <alignment horizontal="center" vertical="center" wrapText="1"/>
    </xf>
    <xf numFmtId="0" fontId="7" fillId="5" borderId="2" xfId="0" applyFont="1" applyFill="1" applyBorder="1" applyAlignment="1">
      <alignment horizontal="center" vertical="center"/>
    </xf>
    <xf numFmtId="0" fontId="7" fillId="0" borderId="2" xfId="0" applyFont="1" applyBorder="1" applyAlignment="1">
      <alignment horizontal="center" vertical="center"/>
    </xf>
    <xf numFmtId="0" fontId="11" fillId="8" borderId="7" xfId="0" applyFont="1" applyFill="1" applyBorder="1" applyAlignment="1">
      <alignment horizontal="center" vertical="top"/>
    </xf>
    <xf numFmtId="0" fontId="12" fillId="7" borderId="0" xfId="0" applyFont="1" applyFill="1" applyAlignment="1">
      <alignment vertical="top"/>
    </xf>
    <xf numFmtId="0" fontId="14" fillId="0" borderId="0" xfId="0" applyFont="1" applyAlignment="1">
      <alignment horizontal="center" vertical="top"/>
    </xf>
    <xf numFmtId="0" fontId="13" fillId="7" borderId="0" xfId="0" applyFont="1" applyFill="1" applyAlignment="1">
      <alignment vertical="top"/>
    </xf>
    <xf numFmtId="0" fontId="15" fillId="9" borderId="0" xfId="0" applyFont="1" applyFill="1" applyAlignment="1">
      <alignment horizontal="center" vertical="center"/>
    </xf>
    <xf numFmtId="0" fontId="0" fillId="0" borderId="0" xfId="0"/>
    <xf numFmtId="0" fontId="17" fillId="11" borderId="0" xfId="0" applyFont="1" applyFill="1" applyAlignment="1">
      <alignment horizontal="right" vertical="top"/>
    </xf>
    <xf numFmtId="0" fontId="13" fillId="0" borderId="8" xfId="0" applyFont="1" applyBorder="1" applyAlignment="1">
      <alignment vertical="top"/>
    </xf>
    <xf numFmtId="0" fontId="19" fillId="11" borderId="0" xfId="0" applyFont="1" applyFill="1" applyAlignment="1">
      <alignment horizontal="right" vertical="top"/>
    </xf>
    <xf numFmtId="0" fontId="16" fillId="10" borderId="0" xfId="0" applyFont="1" applyFill="1" applyAlignment="1">
      <alignment horizontal="center" vertical="top"/>
    </xf>
    <xf numFmtId="0" fontId="8" fillId="0" borderId="0" xfId="0" applyFont="1" applyAlignment="1">
      <alignment horizontal="center" vertical="center"/>
    </xf>
    <xf numFmtId="0" fontId="9" fillId="0" borderId="0" xfId="0" applyFont="1" applyAlignment="1">
      <alignment horizontal="center" vertical="center"/>
    </xf>
    <xf numFmtId="0" fontId="16" fillId="12" borderId="0" xfId="0" applyFont="1" applyFill="1" applyAlignment="1">
      <alignment horizontal="center" vertical="top"/>
    </xf>
    <xf numFmtId="0" fontId="13" fillId="13" borderId="9" xfId="0" applyFont="1" applyFill="1" applyBorder="1" applyAlignment="1">
      <alignment vertical="top"/>
    </xf>
    <xf numFmtId="0" fontId="16" fillId="14" borderId="0" xfId="0" applyFont="1" applyFill="1" applyAlignment="1">
      <alignment horizontal="center" vertical="top"/>
    </xf>
    <xf numFmtId="0" fontId="16" fillId="15" borderId="0" xfId="0" applyFont="1" applyFill="1" applyAlignment="1">
      <alignment horizontal="center" vertical="top"/>
    </xf>
    <xf numFmtId="0" fontId="16" fillId="16" borderId="0" xfId="0" applyFont="1" applyFill="1" applyAlignment="1">
      <alignment horizontal="center" vertical="top"/>
    </xf>
    <xf numFmtId="0" fontId="16" fillId="17" borderId="0" xfId="0" applyFont="1" applyFill="1" applyAlignment="1">
      <alignment horizontal="center" vertical="top"/>
    </xf>
    <xf numFmtId="0" fontId="20" fillId="18" borderId="0" xfId="0" applyFont="1" applyFill="1" applyAlignment="1">
      <alignment horizontal="center" vertical="top"/>
    </xf>
    <xf numFmtId="0" fontId="21" fillId="19" borderId="0" xfId="0" applyFont="1" applyFill="1" applyAlignment="1">
      <alignment horizontal="left" vertical="top"/>
    </xf>
    <xf numFmtId="0" fontId="24" fillId="22" borderId="0" xfId="0" applyFont="1" applyFill="1" applyAlignment="1">
      <alignment horizontal="left" vertical="top"/>
    </xf>
    <xf numFmtId="0" fontId="1" fillId="2" borderId="1" xfId="0" applyFont="1" applyFill="1" applyBorder="1" applyAlignment="1">
      <alignment horizontal="center" vertical="center"/>
    </xf>
    <xf numFmtId="0" fontId="0" fillId="0" borderId="6" xfId="0" applyBorder="1"/>
    <xf numFmtId="0" fontId="1" fillId="2"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4" xfId="0" applyBorder="1"/>
    <xf numFmtId="0" fontId="0" fillId="0" borderId="5" xfId="0" applyBorder="1"/>
    <xf numFmtId="0" fontId="1" fillId="2" borderId="3" xfId="0" applyFont="1" applyFill="1" applyBorder="1" applyAlignment="1">
      <alignment horizontal="center" vertical="center"/>
    </xf>
    <xf numFmtId="0" fontId="7" fillId="5"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nwZpeHBWb97bp1Nqd0PEMlHzCItzwt0C/view?usp=sharing" TargetMode="External"/><Relationship Id="rId13" Type="http://schemas.openxmlformats.org/officeDocument/2006/relationships/hyperlink" Target="https://drive.google.com/file/d/1uqDGViToznGc-L-EWMZ0o8xLOkjttHBW/view?usp=drive_link" TargetMode="External"/><Relationship Id="rId3" Type="http://schemas.openxmlformats.org/officeDocument/2006/relationships/hyperlink" Target="https://drive.google.com/file/d/1ncAoi5-o8iCMmLY5VbkvZxUcj74ODAQ7/view?usp=sharing" TargetMode="External"/><Relationship Id="rId7" Type="http://schemas.openxmlformats.org/officeDocument/2006/relationships/hyperlink" Target="https://drive.google.com/file/d/1VMWvlFXZmIgpRBoh9jm2Kqj746GbMLXl/view?usp=sharing," TargetMode="External"/><Relationship Id="rId12" Type="http://schemas.openxmlformats.org/officeDocument/2006/relationships/hyperlink" Target="https://drive.google.com/file/d/1o4RUSpHC1OkBIFkDioR02e0ROIFyfwLD/view?usp=sharing" TargetMode="External"/><Relationship Id="rId2" Type="http://schemas.openxmlformats.org/officeDocument/2006/relationships/hyperlink" Target="https://drive.google.com/file/d/1Zn2soUbPH-N7GKAYacmVBtqSeHQhmvRS/view?usp=drive_link" TargetMode="External"/><Relationship Id="rId1" Type="http://schemas.openxmlformats.org/officeDocument/2006/relationships/hyperlink" Target="https://drive.google.com/file/d/1PB6e16BdcTcX3Nq3JrhRqNgZwGdZQzcp/view?usp=drive_link," TargetMode="External"/><Relationship Id="rId6" Type="http://schemas.openxmlformats.org/officeDocument/2006/relationships/hyperlink" Target="https://drive.google.com/file/d/1W2hnGK8mjSvACrfccZ4j3iZFSlF6_5H4/view?usp=share_link," TargetMode="External"/><Relationship Id="rId11" Type="http://schemas.openxmlformats.org/officeDocument/2006/relationships/hyperlink" Target="https://drive.google.com/file/d/1nLjU8ZJrjd-XdLDdCk68hsphDj1ikeXq/view?usp=share_link" TargetMode="External"/><Relationship Id="rId5" Type="http://schemas.openxmlformats.org/officeDocument/2006/relationships/hyperlink" Target="https://drive.google.com/file/d/1HUq6tqbPZU8hTE_xadhHP1P_EdSbq2YV/view?usp=drive_link" TargetMode="External"/><Relationship Id="rId10" Type="http://schemas.openxmlformats.org/officeDocument/2006/relationships/hyperlink" Target="https://drive.google.com/file/d/1EA06R6fQ13JalY1z93vD1JtE6yqG1QSg/view?usp=drive_link," TargetMode="External"/><Relationship Id="rId4" Type="http://schemas.openxmlformats.org/officeDocument/2006/relationships/hyperlink" Target="https://drive.google.com/file/d/1wUl3175u_SA6zTxtG39CSwKN_gRrsJrZ/view?usp=sharing," TargetMode="External"/><Relationship Id="rId9" Type="http://schemas.openxmlformats.org/officeDocument/2006/relationships/hyperlink" Target="https://drive.google.com/file/d/1A1Qoi5V5inKzGb_i2qtzssY9T9Rb4-NR/view?usp=sharing" TargetMode="External"/><Relationship Id="rId14" Type="http://schemas.openxmlformats.org/officeDocument/2006/relationships/hyperlink" Target="https://drive.google.com/file/d/1cSSSMS5d_3JBaZkViZri_HyZHL6BD6IY/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ffid.fairfax.com.br/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B6B48-7938-E4CA-184B-1A7B4088B236}">
  <dimension ref="B1:Z93"/>
  <sheetViews>
    <sheetView workbookViewId="0">
      <selection activeCell="C6" sqref="C6"/>
    </sheetView>
  </sheetViews>
  <sheetFormatPr defaultColWidth="8.85546875" defaultRowHeight="15" customHeight="1" x14ac:dyDescent="0.2"/>
  <cols>
    <col min="1" max="1" width="4.28515625" customWidth="1"/>
    <col min="2" max="2" width="31.42578125" customWidth="1"/>
    <col min="3" max="5" width="25.7109375" customWidth="1"/>
    <col min="26" max="26" width="0" hidden="1" customWidth="1"/>
  </cols>
  <sheetData>
    <row r="1" spans="2:26" ht="15" customHeight="1" x14ac:dyDescent="0.2">
      <c r="Z1" t="s">
        <v>0</v>
      </c>
    </row>
    <row r="2" spans="2:26" ht="30" customHeight="1" x14ac:dyDescent="0.2">
      <c r="B2" s="73" t="s">
        <v>1</v>
      </c>
      <c r="C2" s="68"/>
      <c r="D2" s="68"/>
      <c r="E2" s="68"/>
      <c r="Z2" t="s">
        <v>2</v>
      </c>
    </row>
    <row r="3" spans="2:26" ht="15.75" customHeight="1" x14ac:dyDescent="0.2">
      <c r="B3" s="74" t="s">
        <v>3</v>
      </c>
      <c r="C3" s="68"/>
      <c r="D3" s="68"/>
      <c r="E3" s="68"/>
      <c r="Z3" t="s">
        <v>4</v>
      </c>
    </row>
    <row r="4" spans="2:26" ht="15" customHeight="1" x14ac:dyDescent="0.2">
      <c r="Z4" t="s">
        <v>5</v>
      </c>
    </row>
    <row r="5" spans="2:26" ht="26.25" customHeight="1" x14ac:dyDescent="0.2">
      <c r="B5" s="1" t="s">
        <v>6</v>
      </c>
      <c r="C5" s="63" t="s">
        <v>2</v>
      </c>
      <c r="D5" s="64" t="s">
        <v>7</v>
      </c>
      <c r="E5" s="2"/>
      <c r="Z5" t="s">
        <v>8</v>
      </c>
    </row>
    <row r="6" spans="2:26" ht="15" customHeight="1" x14ac:dyDescent="0.2">
      <c r="B6" s="2"/>
      <c r="C6" s="2"/>
      <c r="D6" s="2"/>
      <c r="E6" s="2"/>
      <c r="Z6" t="s">
        <v>9</v>
      </c>
    </row>
    <row r="7" spans="2:26" ht="15" customHeight="1" x14ac:dyDescent="0.2">
      <c r="B7" s="65" t="s">
        <v>10</v>
      </c>
      <c r="C7" s="66"/>
      <c r="D7" s="66"/>
      <c r="E7" s="66"/>
      <c r="Z7" t="s">
        <v>11</v>
      </c>
    </row>
    <row r="8" spans="2:26" ht="21" customHeight="1" x14ac:dyDescent="0.2">
      <c r="B8" s="67" t="s">
        <v>12</v>
      </c>
      <c r="C8" s="68"/>
      <c r="D8" s="68"/>
      <c r="E8" s="68"/>
      <c r="Z8" t="s">
        <v>13</v>
      </c>
    </row>
    <row r="9" spans="2:26" ht="15" customHeight="1" x14ac:dyDescent="0.2">
      <c r="Z9" t="s">
        <v>14</v>
      </c>
    </row>
    <row r="10" spans="2:26" ht="18.75" customHeight="1" x14ac:dyDescent="0.2">
      <c r="B10" s="72" t="s">
        <v>15</v>
      </c>
      <c r="C10" s="68"/>
      <c r="D10" s="68"/>
      <c r="E10" s="68"/>
      <c r="Z10" t="s">
        <v>16</v>
      </c>
    </row>
    <row r="11" spans="2:26" ht="15" customHeight="1" x14ac:dyDescent="0.2">
      <c r="Z11" t="s">
        <v>17</v>
      </c>
    </row>
    <row r="12" spans="2:26" ht="15" customHeight="1" x14ac:dyDescent="0.2">
      <c r="B12" s="69" t="s">
        <v>18</v>
      </c>
      <c r="C12" s="70" t="str">
        <f>IF($C$5="","",IFERROR(VLOOKUP($C$5,'PROPERTY (SLA)'!$A:$Z,2,FALSE),"Não encontrado"))</f>
        <v>Não</v>
      </c>
      <c r="D12" s="68"/>
      <c r="E12" s="68"/>
      <c r="Z12" t="s">
        <v>20</v>
      </c>
    </row>
    <row r="13" spans="2:26" ht="15" customHeight="1" x14ac:dyDescent="0.2">
      <c r="B13" s="3" t="s">
        <v>21</v>
      </c>
      <c r="C13" s="70" t="str">
        <f>IF($C$5="","",IFERROR(VLOOKUP($C$5,'PROPERTY (SLA)'!$A:$Z,3,FALSE),"Não encontrado"))</f>
        <v>Sem orientação a respeito Seguir padrão da Addvalora</v>
      </c>
      <c r="D13" s="68"/>
      <c r="E13" s="68"/>
      <c r="Z13" t="s">
        <v>23</v>
      </c>
    </row>
    <row r="14" spans="2:26" ht="15" customHeight="1" x14ac:dyDescent="0.2">
      <c r="B14" s="71" t="s">
        <v>24</v>
      </c>
      <c r="C14" s="70" t="str">
        <f>IF($C$5="","",IFERROR(VLOOKUP($C$5,'PROPERTY (SLA)'!$A:$Z,4,FALSE),"Não encontrado"))</f>
        <v>Sim</v>
      </c>
      <c r="D14" s="68"/>
      <c r="E14" s="68"/>
      <c r="Z14" t="s">
        <v>26</v>
      </c>
    </row>
    <row r="15" spans="2:26" ht="15" customHeight="1" x14ac:dyDescent="0.2">
      <c r="B15" s="3" t="s">
        <v>27</v>
      </c>
      <c r="C15" s="70" t="str">
        <f>IF($C$5="","",IFERROR(VLOOKUP($C$5,'PROPERTY (SLA)'!$A:$Z,5,FALSE),"Não encontrado"))</f>
        <v>Orientação : Manter contato imediato após o recebimento do acionamento</v>
      </c>
      <c r="D15" s="68"/>
      <c r="E15" s="68"/>
      <c r="Z15" t="s">
        <v>29</v>
      </c>
    </row>
    <row r="16" spans="2:26" ht="15" customHeight="1" x14ac:dyDescent="0.2">
      <c r="B16" s="3" t="s">
        <v>30</v>
      </c>
      <c r="C16" s="70" t="str">
        <f>IF($C$5="","",IFERROR(VLOOKUP($C$5,'PROPERTY (SLA)'!$A:$Z,6,FALSE),"Não encontrado"))</f>
        <v>Conforme agendamento / apresentar a sintese até 48h após a vistoria</v>
      </c>
      <c r="D16" s="68"/>
      <c r="E16" s="68"/>
      <c r="Z16" t="s">
        <v>32</v>
      </c>
    </row>
    <row r="17" spans="2:26" ht="15" customHeight="1" x14ac:dyDescent="0.2">
      <c r="B17" s="3" t="s">
        <v>33</v>
      </c>
      <c r="C17" s="70" t="str">
        <f>IF($C$5="","",IFERROR(VLOOKUP($C$5,'PROPERTY (SLA)'!$A:$Z,7,FALSE),"Não encontrado"))</f>
        <v>Até 5 dias após a vistoria</v>
      </c>
      <c r="D17" s="68"/>
      <c r="E17" s="68"/>
      <c r="Z17" t="s">
        <v>35</v>
      </c>
    </row>
    <row r="18" spans="2:26" ht="15" customHeight="1" x14ac:dyDescent="0.2">
      <c r="B18" s="3" t="s">
        <v>36</v>
      </c>
      <c r="C18" s="70" t="str">
        <f>IF($C$5="","",IFERROR(VLOOKUP($C$5,'PROPERTY (SLA)'!$A:$Z,8,FALSE),"Não encontrado"))</f>
        <v>Até 7 dias após último documento</v>
      </c>
      <c r="D18" s="68"/>
      <c r="E18" s="68"/>
      <c r="Z18" t="s">
        <v>38</v>
      </c>
    </row>
    <row r="19" spans="2:26" ht="15" customHeight="1" x14ac:dyDescent="0.2">
      <c r="B19" s="3" t="s">
        <v>39</v>
      </c>
      <c r="C19" s="70" t="str">
        <f>IF($C$5="","",IFERROR(VLOOKUP($C$5,'PROPERTY (SLA)'!$A:$Z,9,FALSE),"Não encontrado"))</f>
        <v>Não</v>
      </c>
      <c r="D19" s="68"/>
      <c r="E19" s="68"/>
      <c r="Z19" t="s">
        <v>40</v>
      </c>
    </row>
    <row r="20" spans="2:26" ht="15" customHeight="1" x14ac:dyDescent="0.2">
      <c r="B20" s="3" t="s">
        <v>41</v>
      </c>
      <c r="C20" s="70" t="str">
        <f>IF($C$5="","",IFERROR(VLOOKUP($C$5,'PROPERTY (SLA)'!$A:$Z,11,FALSE),"Não encontrado"))</f>
        <v>Sem orientação
 Sugestão: Reiterar a cada 10 dias</v>
      </c>
      <c r="D20" s="68"/>
      <c r="E20" s="68"/>
      <c r="Z20" t="s">
        <v>43</v>
      </c>
    </row>
    <row r="21" spans="2:26" ht="15" customHeight="1" x14ac:dyDescent="0.2">
      <c r="B21" s="3" t="s">
        <v>44</v>
      </c>
      <c r="C21" s="70" t="str">
        <f>IF($C$5="","",IFERROR(VLOOKUP($C$5,'PROPERTY (SLA)'!$A:$Z,12,FALSE),"Não encontrado"))</f>
        <v>Sem informação /
 Sugestão: Confirmar com analista após 75 dias, se da continuidade ao processo</v>
      </c>
      <c r="D21" s="68"/>
      <c r="E21" s="68"/>
      <c r="Z21" t="s">
        <v>46</v>
      </c>
    </row>
    <row r="22" spans="2:26" ht="15" customHeight="1" x14ac:dyDescent="0.2">
      <c r="B22" s="3" t="s">
        <v>47</v>
      </c>
      <c r="C22" s="70" t="str">
        <f>IF($C$5="","",IFERROR(VLOOKUP($C$5,'PROPERTY (SLA)'!$A:$Z,13,FALSE),"Não encontrado"))</f>
        <v>Conforme apólice</v>
      </c>
      <c r="D22" s="68"/>
      <c r="E22" s="68"/>
      <c r="Z22" t="s">
        <v>49</v>
      </c>
    </row>
    <row r="23" spans="2:26" ht="15" customHeight="1" x14ac:dyDescent="0.2">
      <c r="B23" s="3" t="s">
        <v>50</v>
      </c>
      <c r="C23" s="70" t="str">
        <f>IF($C$5="","",IFERROR(VLOOKUP($C$5,'PROPERTY (SLA)'!$A:$Z,15,FALSE),"Não encontrado"))</f>
        <v>Sem informação / E-mail para o analista</v>
      </c>
      <c r="D23" s="68"/>
      <c r="E23" s="68"/>
      <c r="Z23" t="s">
        <v>52</v>
      </c>
    </row>
    <row r="24" spans="2:26" ht="15" customHeight="1" x14ac:dyDescent="0.2">
      <c r="B24" s="3" t="s">
        <v>53</v>
      </c>
      <c r="C24" s="70" t="str">
        <f>IF($C$5="","",IFERROR(VLOOKUP($C$5,'PROPERTY (SLA)'!$A:$Z,23,FALSE),"Não encontrado"))</f>
        <v>*Autorização de crédito
 *Declaração de outros seguros
 *Formulário de conformidade</v>
      </c>
      <c r="D24" s="68"/>
      <c r="E24" s="68"/>
      <c r="Z24" t="s">
        <v>55</v>
      </c>
    </row>
    <row r="25" spans="2:26" ht="15" customHeight="1" x14ac:dyDescent="0.2">
      <c r="B25" s="3" t="s">
        <v>56</v>
      </c>
      <c r="C25" s="70" t="str">
        <f>IF($C$5="","",IFERROR(VLOOKUP($C$5,'PROPERTY (SLA)'!$A:$Z,26,FALSE),"Não encontrado"))</f>
        <v xml:space="preserve">* Relatórios Preliminares 2,3,4....: A cada 30 dias, se houver informações que justifiquem, ou sempre que houver fatos relevantes, como alteração de Estimativas de indenização.
Procedimentos e Honorários: Para valores de time sheet de até R$ 20.000,00, não há necessidade de aprovação prévia da AIG.
</v>
      </c>
      <c r="D25" s="68"/>
      <c r="E25" s="68"/>
      <c r="Z25" t="s">
        <v>57</v>
      </c>
    </row>
    <row r="26" spans="2:26" ht="15" customHeight="1" x14ac:dyDescent="0.2">
      <c r="Z26" t="s">
        <v>58</v>
      </c>
    </row>
    <row r="27" spans="2:26" ht="15" customHeight="1" x14ac:dyDescent="0.2">
      <c r="Z27" t="s">
        <v>59</v>
      </c>
    </row>
    <row r="28" spans="2:26" ht="18.75" customHeight="1" x14ac:dyDescent="0.2">
      <c r="B28" s="75" t="s">
        <v>60</v>
      </c>
      <c r="C28" s="68"/>
      <c r="D28" s="68"/>
      <c r="E28" s="68"/>
      <c r="Z28" t="s">
        <v>61</v>
      </c>
    </row>
    <row r="29" spans="2:26" ht="15" customHeight="1" x14ac:dyDescent="0.2">
      <c r="Z29" t="s">
        <v>62</v>
      </c>
    </row>
    <row r="30" spans="2:26" ht="15" customHeight="1" x14ac:dyDescent="0.2">
      <c r="B30" s="3" t="s">
        <v>63</v>
      </c>
      <c r="C30" s="76" t="str">
        <f>IF($C$5="","",IFERROR(VLOOKUP($C$5,'RCG (SLA)'!$A:$Z,2,FALSE),"Não disponível nesta categoria"))</f>
        <v>Não disponível nesta categoria</v>
      </c>
      <c r="D30" s="68"/>
      <c r="E30" s="68"/>
      <c r="Z30" t="s">
        <v>64</v>
      </c>
    </row>
    <row r="31" spans="2:26" ht="15" customHeight="1" x14ac:dyDescent="0.2">
      <c r="B31" s="3" t="s">
        <v>65</v>
      </c>
      <c r="C31" s="76" t="str">
        <f>IF($C$5="","",IFERROR(VLOOKUP($C$5,'RCG (SLA)'!$A:$Z,4,FALSE),"Não disponível nesta categoria"))</f>
        <v>Não disponível nesta categoria</v>
      </c>
      <c r="D31" s="68"/>
      <c r="E31" s="68"/>
      <c r="Z31" t="s">
        <v>66</v>
      </c>
    </row>
    <row r="32" spans="2:26" ht="15" customHeight="1" x14ac:dyDescent="0.2">
      <c r="B32" s="3" t="s">
        <v>67</v>
      </c>
      <c r="C32" s="76" t="str">
        <f>IF($C$5="","",IFERROR(VLOOKUP($C$5,'RCG (SLA)'!$A:$Z,5,FALSE),"Não disponível nesta categoria"))</f>
        <v>Não disponível nesta categoria</v>
      </c>
      <c r="D32" s="68"/>
      <c r="E32" s="68"/>
      <c r="Z32" t="s">
        <v>68</v>
      </c>
    </row>
    <row r="33" spans="2:26" ht="15" customHeight="1" x14ac:dyDescent="0.2">
      <c r="B33" s="3" t="s">
        <v>69</v>
      </c>
      <c r="C33" s="76" t="str">
        <f>IF($C$5="","",IFERROR(VLOOKUP($C$5,'RCG (SLA)'!$A:$Z,8,FALSE),"Não disponível nesta categoria"))</f>
        <v>Não disponível nesta categoria</v>
      </c>
      <c r="D33" s="68"/>
      <c r="E33" s="68"/>
      <c r="Z33" t="s">
        <v>70</v>
      </c>
    </row>
    <row r="34" spans="2:26" ht="15" customHeight="1" x14ac:dyDescent="0.2">
      <c r="B34" s="3" t="s">
        <v>71</v>
      </c>
      <c r="C34" s="76" t="str">
        <f>IF($C$5="","",IFERROR(VLOOKUP($C$5,'RCG (SLA)'!$A:$Z,12,FALSE),"Não disponível nesta categoria"))</f>
        <v>Não disponível nesta categoria</v>
      </c>
      <c r="D34" s="68"/>
      <c r="E34" s="68"/>
    </row>
    <row r="35" spans="2:26" ht="15" customHeight="1" x14ac:dyDescent="0.2">
      <c r="B35" s="3" t="s">
        <v>72</v>
      </c>
      <c r="C35" s="76" t="str">
        <f>IF($C$5="","",IFERROR(VLOOKUP($C$5,'RCG (SLA)'!$A:$Z,25,FALSE),"Não disponível nesta categoria"))</f>
        <v>Não disponível nesta categoria</v>
      </c>
      <c r="D35" s="68"/>
      <c r="E35" s="68"/>
    </row>
    <row r="38" spans="2:26" ht="18.75" customHeight="1" x14ac:dyDescent="0.2">
      <c r="B38" s="77" t="s">
        <v>73</v>
      </c>
      <c r="C38" s="68"/>
      <c r="D38" s="68"/>
      <c r="E38" s="68"/>
    </row>
    <row r="40" spans="2:26" ht="15" customHeight="1" x14ac:dyDescent="0.2">
      <c r="B40" s="3" t="s">
        <v>63</v>
      </c>
      <c r="C40" s="76" t="str">
        <f>IF($C$5="","",IFERROR(VLOOKUP($C$5,'RCP (SLA)'!$A:$Z,2,FALSE),"Não disponível nesta categoria"))</f>
        <v>Não disponível nesta categoria</v>
      </c>
      <c r="D40" s="68"/>
      <c r="E40" s="68"/>
    </row>
    <row r="41" spans="2:26" ht="15" customHeight="1" x14ac:dyDescent="0.2">
      <c r="B41" s="3" t="s">
        <v>65</v>
      </c>
      <c r="C41" s="76" t="str">
        <f>IF($C$5="","",IFERROR(VLOOKUP($C$5,'RCP (SLA)'!$A:$Z,4,FALSE),"Não disponível nesta categoria"))</f>
        <v>Não disponível nesta categoria</v>
      </c>
      <c r="D41" s="68"/>
      <c r="E41" s="68"/>
    </row>
    <row r="42" spans="2:26" ht="15" customHeight="1" x14ac:dyDescent="0.2">
      <c r="B42" s="3" t="s">
        <v>67</v>
      </c>
      <c r="C42" s="76" t="str">
        <f>IF($C$5="","",IFERROR(VLOOKUP($C$5,'RCP (SLA)'!$A:$Z,5,FALSE),"Não disponível nesta categoria"))</f>
        <v>Não disponível nesta categoria</v>
      </c>
      <c r="D42" s="68"/>
      <c r="E42" s="68"/>
    </row>
    <row r="43" spans="2:26" ht="15" customHeight="1" x14ac:dyDescent="0.2">
      <c r="B43" s="3" t="s">
        <v>69</v>
      </c>
      <c r="C43" s="76" t="str">
        <f>IF($C$5="","",IFERROR(VLOOKUP($C$5,'RCP (SLA)'!$A:$Z,8,FALSE),"Não disponível nesta categoria"))</f>
        <v>Não disponível nesta categoria</v>
      </c>
      <c r="D43" s="68"/>
      <c r="E43" s="68"/>
    </row>
    <row r="44" spans="2:26" ht="15" customHeight="1" x14ac:dyDescent="0.2">
      <c r="B44" s="3" t="s">
        <v>71</v>
      </c>
      <c r="C44" s="76" t="str">
        <f>IF($C$5="","",IFERROR(VLOOKUP($C$5,'RCP (SLA)'!$A:$Z,12,FALSE),"Não disponível nesta categoria"))</f>
        <v>Não disponível nesta categoria</v>
      </c>
      <c r="D44" s="68"/>
      <c r="E44" s="68"/>
    </row>
    <row r="45" spans="2:26" ht="15" customHeight="1" x14ac:dyDescent="0.2">
      <c r="B45" s="3" t="s">
        <v>72</v>
      </c>
      <c r="C45" s="76" t="str">
        <f>IF($C$5="","",IFERROR(VLOOKUP($C$5,'RCP (SLA)'!$A:$Z,25,FALSE),"Não disponível nesta categoria"))</f>
        <v>Não disponível nesta categoria</v>
      </c>
      <c r="D45" s="68"/>
      <c r="E45" s="68"/>
    </row>
    <row r="48" spans="2:26" ht="18.75" customHeight="1" x14ac:dyDescent="0.2">
      <c r="B48" s="78" t="s">
        <v>74</v>
      </c>
      <c r="C48" s="68"/>
      <c r="D48" s="68"/>
      <c r="E48" s="68"/>
    </row>
    <row r="50" spans="2:5" ht="15" customHeight="1" x14ac:dyDescent="0.2">
      <c r="B50" s="3" t="s">
        <v>63</v>
      </c>
      <c r="C50" s="76" t="str">
        <f>IF($C$5="","",IFERROR(VLOOKUP($C$5,'Garantia Judicial'!$A:$Z,2,FALSE),"Não disponível nesta categoria"))</f>
        <v>Não disponível nesta categoria</v>
      </c>
      <c r="D50" s="68"/>
      <c r="E50" s="68"/>
    </row>
    <row r="51" spans="2:5" ht="15" customHeight="1" x14ac:dyDescent="0.2">
      <c r="B51" s="3" t="s">
        <v>65</v>
      </c>
      <c r="C51" s="76" t="str">
        <f>IF($C$5="","",IFERROR(VLOOKUP($C$5,'Garantia Judicial'!$A:$Z,4,FALSE),"Não disponível nesta categoria"))</f>
        <v>Não disponível nesta categoria</v>
      </c>
      <c r="D51" s="68"/>
      <c r="E51" s="68"/>
    </row>
    <row r="52" spans="2:5" ht="15" customHeight="1" x14ac:dyDescent="0.2">
      <c r="B52" s="3" t="s">
        <v>67</v>
      </c>
      <c r="C52" s="76" t="str">
        <f>IF($C$5="","",IFERROR(VLOOKUP($C$5,'Garantia Judicial'!$A:$Z,5,FALSE),"Não disponível nesta categoria"))</f>
        <v>Não disponível nesta categoria</v>
      </c>
      <c r="D52" s="68"/>
      <c r="E52" s="68"/>
    </row>
    <row r="53" spans="2:5" ht="15" customHeight="1" x14ac:dyDescent="0.2">
      <c r="B53" s="3" t="s">
        <v>69</v>
      </c>
      <c r="C53" s="76" t="str">
        <f>IF($C$5="","",IFERROR(VLOOKUP($C$5,'Garantia Judicial'!$A:$Z,8,FALSE),"Não disponível nesta categoria"))</f>
        <v>Não disponível nesta categoria</v>
      </c>
      <c r="D53" s="68"/>
      <c r="E53" s="68"/>
    </row>
    <row r="54" spans="2:5" ht="15" customHeight="1" x14ac:dyDescent="0.2">
      <c r="B54" s="3" t="s">
        <v>71</v>
      </c>
      <c r="C54" s="76" t="str">
        <f>IF($C$5="","",IFERROR(VLOOKUP($C$5,'Garantia Judicial'!$A:$Z,12,FALSE),"Não disponível nesta categoria"))</f>
        <v>Não disponível nesta categoria</v>
      </c>
      <c r="D54" s="68"/>
      <c r="E54" s="68"/>
    </row>
    <row r="55" spans="2:5" ht="15" customHeight="1" x14ac:dyDescent="0.2">
      <c r="B55" s="3" t="s">
        <v>72</v>
      </c>
      <c r="C55" s="76" t="str">
        <f>IF($C$5="","",IFERROR(VLOOKUP($C$5,'Garantia Judicial'!$A:$Z,25,FALSE),"Não disponível nesta categoria"))</f>
        <v>Não disponível nesta categoria</v>
      </c>
      <c r="D55" s="68"/>
      <c r="E55" s="68"/>
    </row>
    <row r="58" spans="2:5" ht="18.75" customHeight="1" x14ac:dyDescent="0.2">
      <c r="B58" s="79" t="s">
        <v>75</v>
      </c>
      <c r="C58" s="68"/>
      <c r="D58" s="68"/>
      <c r="E58" s="68"/>
    </row>
    <row r="60" spans="2:5" ht="15" customHeight="1" x14ac:dyDescent="0.2">
      <c r="B60" s="3" t="s">
        <v>63</v>
      </c>
      <c r="C60" s="76" t="str">
        <f>IF($C$5="","",IFERROR(VLOOKUP($C$5,'Garantia - Ressarcimento'!$A:$Z,2,FALSE),"Não disponível nesta categoria"))</f>
        <v>Não disponível nesta categoria</v>
      </c>
      <c r="D60" s="68"/>
      <c r="E60" s="68"/>
    </row>
    <row r="61" spans="2:5" ht="15" customHeight="1" x14ac:dyDescent="0.2">
      <c r="B61" s="3" t="s">
        <v>65</v>
      </c>
      <c r="C61" s="76" t="str">
        <f>IF($C$5="","",IFERROR(VLOOKUP($C$5,'Garantia - Ressarcimento'!$A:$Z,4,FALSE),"Não disponível nesta categoria"))</f>
        <v>Não disponível nesta categoria</v>
      </c>
      <c r="D61" s="68"/>
      <c r="E61" s="68"/>
    </row>
    <row r="62" spans="2:5" ht="15" customHeight="1" x14ac:dyDescent="0.2">
      <c r="B62" s="3" t="s">
        <v>67</v>
      </c>
      <c r="C62" s="76" t="str">
        <f>IF($C$5="","",IFERROR(VLOOKUP($C$5,'Garantia - Ressarcimento'!$A:$Z,5,FALSE),"Não disponível nesta categoria"))</f>
        <v>Não disponível nesta categoria</v>
      </c>
      <c r="D62" s="68"/>
      <c r="E62" s="68"/>
    </row>
    <row r="63" spans="2:5" ht="15" customHeight="1" x14ac:dyDescent="0.2">
      <c r="B63" s="3" t="s">
        <v>69</v>
      </c>
      <c r="C63" s="76" t="str">
        <f>IF($C$5="","",IFERROR(VLOOKUP($C$5,'Garantia - Ressarcimento'!$A:$Z,8,FALSE),"Não disponível nesta categoria"))</f>
        <v>Não disponível nesta categoria</v>
      </c>
      <c r="D63" s="68"/>
      <c r="E63" s="68"/>
    </row>
    <row r="64" spans="2:5" ht="15" customHeight="1" x14ac:dyDescent="0.2">
      <c r="B64" s="3" t="s">
        <v>71</v>
      </c>
      <c r="C64" s="76" t="str">
        <f>IF($C$5="","",IFERROR(VLOOKUP($C$5,'Garantia - Ressarcimento'!$A:$Z,12,FALSE),"Não disponível nesta categoria"))</f>
        <v>Não disponível nesta categoria</v>
      </c>
      <c r="D64" s="68"/>
      <c r="E64" s="68"/>
    </row>
    <row r="65" spans="2:5" ht="15" customHeight="1" x14ac:dyDescent="0.2">
      <c r="B65" s="3" t="s">
        <v>72</v>
      </c>
      <c r="C65" s="76" t="str">
        <f>IF($C$5="","",IFERROR(VLOOKUP($C$5,'Garantia - Ressarcimento'!$A:$Z,25,FALSE),"Não disponível nesta categoria"))</f>
        <v>Não disponível nesta categoria</v>
      </c>
      <c r="D65" s="68"/>
      <c r="E65" s="68"/>
    </row>
    <row r="68" spans="2:5" ht="18.75" customHeight="1" x14ac:dyDescent="0.2">
      <c r="B68" s="80" t="s">
        <v>76</v>
      </c>
      <c r="C68" s="68"/>
      <c r="D68" s="68"/>
      <c r="E68" s="68"/>
    </row>
    <row r="70" spans="2:5" ht="15" customHeight="1" x14ac:dyDescent="0.2">
      <c r="B70" s="3" t="s">
        <v>63</v>
      </c>
      <c r="C70" s="76" t="str">
        <f>IF($C$5="","",IFERROR(VLOOKUP($C$5,'Garantia - Executante'!$A:$Z,2,FALSE),"Não disponível nesta categoria"))</f>
        <v>Não disponível nesta categoria</v>
      </c>
      <c r="D70" s="68"/>
      <c r="E70" s="68"/>
    </row>
    <row r="71" spans="2:5" ht="15" customHeight="1" x14ac:dyDescent="0.2">
      <c r="B71" s="3" t="s">
        <v>65</v>
      </c>
      <c r="C71" s="76" t="str">
        <f>IF($C$5="","",IFERROR(VLOOKUP($C$5,'Garantia - Executante'!$A:$Z,4,FALSE),"Não disponível nesta categoria"))</f>
        <v>Não disponível nesta categoria</v>
      </c>
      <c r="D71" s="68"/>
      <c r="E71" s="68"/>
    </row>
    <row r="72" spans="2:5" ht="15" customHeight="1" x14ac:dyDescent="0.2">
      <c r="B72" s="3" t="s">
        <v>67</v>
      </c>
      <c r="C72" s="76" t="str">
        <f>IF($C$5="","",IFERROR(VLOOKUP($C$5,'Garantia - Executante'!$A:$Z,5,FALSE),"Não disponível nesta categoria"))</f>
        <v>Não disponível nesta categoria</v>
      </c>
      <c r="D72" s="68"/>
      <c r="E72" s="68"/>
    </row>
    <row r="73" spans="2:5" ht="15" customHeight="1" x14ac:dyDescent="0.2">
      <c r="B73" s="3" t="s">
        <v>69</v>
      </c>
      <c r="C73" s="76" t="str">
        <f>IF($C$5="","",IFERROR(VLOOKUP($C$5,'Garantia - Executante'!$A:$Z,8,FALSE),"Não disponível nesta categoria"))</f>
        <v>Não disponível nesta categoria</v>
      </c>
      <c r="D73" s="68"/>
      <c r="E73" s="68"/>
    </row>
    <row r="74" spans="2:5" ht="15" customHeight="1" x14ac:dyDescent="0.2">
      <c r="B74" s="3" t="s">
        <v>71</v>
      </c>
      <c r="C74" s="76" t="str">
        <f>IF($C$5="","",IFERROR(VLOOKUP($C$5,'Garantia - Executante'!$A:$Z,12,FALSE),"Não disponível nesta categoria"))</f>
        <v>Não disponível nesta categoria</v>
      </c>
      <c r="D74" s="68"/>
      <c r="E74" s="68"/>
    </row>
    <row r="75" spans="2:5" ht="15" customHeight="1" x14ac:dyDescent="0.2">
      <c r="B75" s="3" t="s">
        <v>72</v>
      </c>
      <c r="C75" s="76" t="str">
        <f>IF($C$5="","",IFERROR(VLOOKUP($C$5,'Garantia - Executante'!$A:$Z,25,FALSE),"Não disponível nesta categoria"))</f>
        <v>Não disponível nesta categoria</v>
      </c>
      <c r="D75" s="68"/>
      <c r="E75" s="68"/>
    </row>
    <row r="78" spans="2:5" ht="15" customHeight="1" x14ac:dyDescent="0.2">
      <c r="B78" s="81" t="s">
        <v>77</v>
      </c>
      <c r="C78" s="68"/>
      <c r="D78" s="68"/>
      <c r="E78" s="68"/>
    </row>
    <row r="79" spans="2:5" ht="15" customHeight="1" x14ac:dyDescent="0.2">
      <c r="B79" s="82" t="s">
        <v>78</v>
      </c>
      <c r="C79" s="68"/>
      <c r="D79" s="68"/>
      <c r="E79" s="68"/>
    </row>
    <row r="80" spans="2:5" ht="15" customHeight="1" x14ac:dyDescent="0.2">
      <c r="B80" s="4" t="s">
        <v>79</v>
      </c>
      <c r="C80" s="4" t="s">
        <v>80</v>
      </c>
      <c r="D80" s="4" t="s">
        <v>81</v>
      </c>
    </row>
    <row r="81" spans="2:5" ht="15" customHeight="1" x14ac:dyDescent="0.2">
      <c r="B81" s="5" t="s">
        <v>2</v>
      </c>
      <c r="C81" s="5" t="s">
        <v>23</v>
      </c>
      <c r="D81" s="5" t="s">
        <v>55</v>
      </c>
    </row>
    <row r="82" spans="2:5" ht="15" customHeight="1" x14ac:dyDescent="0.2">
      <c r="B82" s="5" t="s">
        <v>4</v>
      </c>
      <c r="C82" s="5" t="s">
        <v>26</v>
      </c>
      <c r="D82" s="5" t="s">
        <v>57</v>
      </c>
    </row>
    <row r="83" spans="2:5" ht="15" customHeight="1" x14ac:dyDescent="0.2">
      <c r="B83" s="5" t="s">
        <v>5</v>
      </c>
      <c r="C83" s="5" t="s">
        <v>29</v>
      </c>
      <c r="D83" s="5" t="s">
        <v>58</v>
      </c>
    </row>
    <row r="84" spans="2:5" ht="15" customHeight="1" x14ac:dyDescent="0.2">
      <c r="B84" s="5" t="s">
        <v>8</v>
      </c>
      <c r="C84" s="5" t="s">
        <v>32</v>
      </c>
      <c r="D84" s="5" t="s">
        <v>59</v>
      </c>
    </row>
    <row r="85" spans="2:5" ht="15" customHeight="1" x14ac:dyDescent="0.2">
      <c r="B85" s="5" t="s">
        <v>9</v>
      </c>
      <c r="C85" s="5" t="s">
        <v>35</v>
      </c>
      <c r="D85" s="5" t="s">
        <v>61</v>
      </c>
    </row>
    <row r="86" spans="2:5" ht="15" customHeight="1" x14ac:dyDescent="0.2">
      <c r="B86" s="5" t="s">
        <v>11</v>
      </c>
      <c r="C86" s="5" t="s">
        <v>38</v>
      </c>
      <c r="D86" s="5" t="s">
        <v>62</v>
      </c>
    </row>
    <row r="87" spans="2:5" ht="15" customHeight="1" x14ac:dyDescent="0.2">
      <c r="B87" s="5" t="s">
        <v>13</v>
      </c>
      <c r="C87" s="5" t="s">
        <v>40</v>
      </c>
      <c r="D87" s="5" t="s">
        <v>64</v>
      </c>
    </row>
    <row r="88" spans="2:5" ht="15" customHeight="1" x14ac:dyDescent="0.2">
      <c r="B88" s="5" t="s">
        <v>14</v>
      </c>
      <c r="C88" s="5" t="s">
        <v>43</v>
      </c>
      <c r="D88" s="5" t="s">
        <v>66</v>
      </c>
    </row>
    <row r="89" spans="2:5" ht="15" customHeight="1" x14ac:dyDescent="0.2">
      <c r="B89" s="5" t="s">
        <v>16</v>
      </c>
      <c r="C89" s="5" t="s">
        <v>46</v>
      </c>
      <c r="D89" s="5" t="s">
        <v>68</v>
      </c>
    </row>
    <row r="90" spans="2:5" ht="15" customHeight="1" x14ac:dyDescent="0.2">
      <c r="B90" s="5" t="s">
        <v>17</v>
      </c>
      <c r="C90" s="5" t="s">
        <v>49</v>
      </c>
      <c r="D90" s="5" t="s">
        <v>70</v>
      </c>
    </row>
    <row r="91" spans="2:5" ht="15" customHeight="1" x14ac:dyDescent="0.2">
      <c r="B91" s="5" t="s">
        <v>20</v>
      </c>
      <c r="C91" s="5" t="s">
        <v>52</v>
      </c>
    </row>
    <row r="93" spans="2:5" ht="14.25" customHeight="1" x14ac:dyDescent="0.2">
      <c r="B93" s="83" t="s">
        <v>82</v>
      </c>
      <c r="C93" s="68"/>
      <c r="D93" s="68"/>
      <c r="E93" s="68"/>
    </row>
  </sheetData>
  <mergeCells count="58">
    <mergeCell ref="B93:E93"/>
    <mergeCell ref="C73:E73"/>
    <mergeCell ref="C74:E74"/>
    <mergeCell ref="C75:E75"/>
    <mergeCell ref="B78:E78"/>
    <mergeCell ref="B79:E79"/>
    <mergeCell ref="C65:E65"/>
    <mergeCell ref="B68:E68"/>
    <mergeCell ref="C70:E70"/>
    <mergeCell ref="C71:E71"/>
    <mergeCell ref="C72:E72"/>
    <mergeCell ref="C60:E60"/>
    <mergeCell ref="C61:E61"/>
    <mergeCell ref="C62:E62"/>
    <mergeCell ref="C63:E63"/>
    <mergeCell ref="C64:E64"/>
    <mergeCell ref="C52:E52"/>
    <mergeCell ref="C53:E53"/>
    <mergeCell ref="C54:E54"/>
    <mergeCell ref="C55:E55"/>
    <mergeCell ref="B58:E58"/>
    <mergeCell ref="C44:E44"/>
    <mergeCell ref="C45:E45"/>
    <mergeCell ref="B48:E48"/>
    <mergeCell ref="C50:E50"/>
    <mergeCell ref="C51:E51"/>
    <mergeCell ref="B38:E38"/>
    <mergeCell ref="C40:E40"/>
    <mergeCell ref="C41:E41"/>
    <mergeCell ref="C42:E42"/>
    <mergeCell ref="C43:E43"/>
    <mergeCell ref="C31:E31"/>
    <mergeCell ref="C32:E32"/>
    <mergeCell ref="C33:E33"/>
    <mergeCell ref="C34:E34"/>
    <mergeCell ref="C35:E35"/>
    <mergeCell ref="C25:E25"/>
    <mergeCell ref="B2:E2"/>
    <mergeCell ref="B3:E3"/>
    <mergeCell ref="B28:E28"/>
    <mergeCell ref="C30:E30"/>
    <mergeCell ref="C20:E20"/>
    <mergeCell ref="C21:E21"/>
    <mergeCell ref="C22:E22"/>
    <mergeCell ref="C23:E23"/>
    <mergeCell ref="C24:E24"/>
    <mergeCell ref="C15:E15"/>
    <mergeCell ref="C16:E16"/>
    <mergeCell ref="C17:E17"/>
    <mergeCell ref="C18:E18"/>
    <mergeCell ref="C19:E19"/>
    <mergeCell ref="C5:D5"/>
    <mergeCell ref="B7:E7"/>
    <mergeCell ref="B8:E8"/>
    <mergeCell ref="B12:E12"/>
    <mergeCell ref="B14:E14"/>
    <mergeCell ref="B10:E10"/>
    <mergeCell ref="C13:E13"/>
  </mergeCells>
  <pageMargins left="0.7" right="0.7" top="0.75" bottom="0.75" header="0.3" footer="0.3"/>
  <pageSetup orientation="portrait"/>
  <headerFooter>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43E98-6197-F421-E0CA-6D2CEDEAC9C8}">
  <sheetPr>
    <outlinePr summaryBelow="0" summaryRight="0"/>
  </sheetPr>
  <dimension ref="A1:AB1002"/>
  <sheetViews>
    <sheetView showGridLines="0" tabSelected="1" workbookViewId="0">
      <pane xSplit="1" ySplit="2" topLeftCell="B3" activePane="bottomRight" state="frozen"/>
      <selection pane="topRight" activeCell="B1" sqref="B1"/>
      <selection pane="bottomLeft" activeCell="A3" sqref="A3"/>
      <selection pane="bottomRight" activeCell="A37" sqref="A37"/>
    </sheetView>
  </sheetViews>
  <sheetFormatPr defaultColWidth="12.5703125" defaultRowHeight="15.75" customHeight="1" x14ac:dyDescent="0.2"/>
  <cols>
    <col min="1" max="1" width="35.140625" customWidth="1"/>
    <col min="3" max="3" width="34.5703125" customWidth="1"/>
    <col min="4" max="4" width="21.140625" customWidth="1"/>
    <col min="5" max="5" width="34.42578125" customWidth="1"/>
    <col min="6" max="6" width="21.42578125" customWidth="1"/>
    <col min="7" max="8" width="21.140625" customWidth="1"/>
    <col min="9" max="9" width="21.7109375" customWidth="1"/>
    <col min="10" max="10" width="25.7109375" customWidth="1"/>
    <col min="11" max="11" width="22.7109375" customWidth="1"/>
    <col min="12" max="12" width="28.28515625" customWidth="1"/>
    <col min="14" max="14" width="34.28515625" customWidth="1"/>
    <col min="15" max="16" width="24.140625" customWidth="1"/>
    <col min="17" max="17" width="25.28515625" customWidth="1"/>
    <col min="18" max="18" width="15.7109375" customWidth="1"/>
    <col min="21" max="21" width="26.28515625" customWidth="1"/>
    <col min="22" max="22" width="23.5703125" customWidth="1"/>
    <col min="23" max="23" width="46.140625" customWidth="1"/>
    <col min="26" max="26" width="121.85546875" customWidth="1"/>
  </cols>
  <sheetData>
    <row r="1" spans="1:28" ht="30.75" customHeight="1" x14ac:dyDescent="0.2">
      <c r="A1" s="84" t="s">
        <v>83</v>
      </c>
      <c r="B1" s="84" t="s">
        <v>18</v>
      </c>
      <c r="C1" s="86" t="s">
        <v>84</v>
      </c>
      <c r="D1" s="86" t="s">
        <v>85</v>
      </c>
      <c r="E1" s="86" t="s">
        <v>86</v>
      </c>
      <c r="F1" s="86" t="s">
        <v>87</v>
      </c>
      <c r="G1" s="86" t="s">
        <v>33</v>
      </c>
      <c r="H1" s="86" t="s">
        <v>36</v>
      </c>
      <c r="I1" s="86" t="s">
        <v>88</v>
      </c>
      <c r="J1" s="86" t="s">
        <v>89</v>
      </c>
      <c r="K1" s="86" t="s">
        <v>90</v>
      </c>
      <c r="L1" s="86" t="s">
        <v>91</v>
      </c>
      <c r="M1" s="6" t="s">
        <v>47</v>
      </c>
      <c r="N1" s="86" t="s">
        <v>92</v>
      </c>
      <c r="O1" s="87" t="s">
        <v>50</v>
      </c>
      <c r="P1" s="88"/>
      <c r="Q1" s="86" t="s">
        <v>93</v>
      </c>
      <c r="R1" s="87" t="s">
        <v>94</v>
      </c>
      <c r="S1" s="89"/>
      <c r="T1" s="88"/>
      <c r="U1" s="86" t="s">
        <v>95</v>
      </c>
      <c r="V1" s="86" t="s">
        <v>96</v>
      </c>
      <c r="W1" s="86" t="s">
        <v>53</v>
      </c>
      <c r="X1" s="87" t="s">
        <v>97</v>
      </c>
      <c r="Y1" s="88"/>
      <c r="Z1" s="6" t="s">
        <v>98</v>
      </c>
      <c r="AA1" s="7"/>
      <c r="AB1" s="7"/>
    </row>
    <row r="2" spans="1:28" ht="15.75" customHeight="1" x14ac:dyDescent="0.2">
      <c r="A2" s="85"/>
      <c r="B2" s="85"/>
      <c r="C2" s="85"/>
      <c r="D2" s="85"/>
      <c r="E2" s="85"/>
      <c r="F2" s="85"/>
      <c r="G2" s="85"/>
      <c r="H2" s="85"/>
      <c r="I2" s="85"/>
      <c r="J2" s="85"/>
      <c r="K2" s="85"/>
      <c r="L2" s="85"/>
      <c r="M2" s="6" t="s">
        <v>99</v>
      </c>
      <c r="N2" s="85"/>
      <c r="O2" s="6" t="s">
        <v>100</v>
      </c>
      <c r="P2" s="6" t="s">
        <v>18</v>
      </c>
      <c r="Q2" s="85"/>
      <c r="R2" s="6" t="s">
        <v>101</v>
      </c>
      <c r="S2" s="6" t="s">
        <v>83</v>
      </c>
      <c r="T2" s="6" t="s">
        <v>102</v>
      </c>
      <c r="U2" s="85"/>
      <c r="V2" s="85"/>
      <c r="W2" s="85"/>
      <c r="X2" s="6" t="s">
        <v>101</v>
      </c>
      <c r="Y2" s="6" t="s">
        <v>83</v>
      </c>
      <c r="Z2" s="6"/>
      <c r="AA2" s="7"/>
      <c r="AB2" s="7"/>
    </row>
    <row r="3" spans="1:28" ht="15.75" customHeight="1" x14ac:dyDescent="0.2">
      <c r="A3" s="8" t="s">
        <v>2</v>
      </c>
      <c r="B3" s="9" t="s">
        <v>19</v>
      </c>
      <c r="C3" s="9" t="s">
        <v>22</v>
      </c>
      <c r="D3" s="9" t="s">
        <v>25</v>
      </c>
      <c r="E3" s="9" t="s">
        <v>28</v>
      </c>
      <c r="F3" s="9" t="s">
        <v>31</v>
      </c>
      <c r="G3" s="9" t="s">
        <v>34</v>
      </c>
      <c r="H3" s="9" t="s">
        <v>37</v>
      </c>
      <c r="I3" s="9" t="s">
        <v>19</v>
      </c>
      <c r="J3" s="9" t="s">
        <v>25</v>
      </c>
      <c r="K3" s="9" t="s">
        <v>42</v>
      </c>
      <c r="L3" s="9" t="s">
        <v>45</v>
      </c>
      <c r="M3" s="9" t="s">
        <v>48</v>
      </c>
      <c r="N3" s="9" t="s">
        <v>103</v>
      </c>
      <c r="O3" s="9" t="s">
        <v>51</v>
      </c>
      <c r="P3" s="9" t="s">
        <v>104</v>
      </c>
      <c r="Q3" s="9" t="s">
        <v>105</v>
      </c>
      <c r="R3" s="10"/>
      <c r="S3" s="10"/>
      <c r="T3" s="10"/>
      <c r="U3" s="9" t="s">
        <v>106</v>
      </c>
      <c r="V3" s="9" t="s">
        <v>106</v>
      </c>
      <c r="W3" s="11" t="s">
        <v>54</v>
      </c>
      <c r="X3" s="9" t="s">
        <v>19</v>
      </c>
      <c r="Y3" s="9" t="s">
        <v>25</v>
      </c>
      <c r="Z3" s="10" t="s">
        <v>107</v>
      </c>
      <c r="AA3" s="12"/>
      <c r="AB3" s="12"/>
    </row>
    <row r="4" spans="1:28" ht="15.75" customHeight="1" x14ac:dyDescent="0.2">
      <c r="A4" s="13" t="s">
        <v>4</v>
      </c>
      <c r="B4" s="9" t="s">
        <v>25</v>
      </c>
      <c r="C4" s="9" t="s">
        <v>22</v>
      </c>
      <c r="D4" s="9" t="s">
        <v>19</v>
      </c>
      <c r="E4" s="9" t="s">
        <v>28</v>
      </c>
      <c r="F4" s="9" t="s">
        <v>31</v>
      </c>
      <c r="G4" s="9" t="s">
        <v>34</v>
      </c>
      <c r="H4" s="9" t="s">
        <v>108</v>
      </c>
      <c r="I4" s="9" t="s">
        <v>109</v>
      </c>
      <c r="J4" s="9" t="s">
        <v>25</v>
      </c>
      <c r="K4" s="9" t="s">
        <v>110</v>
      </c>
      <c r="L4" s="9" t="s">
        <v>111</v>
      </c>
      <c r="M4" s="9" t="s">
        <v>48</v>
      </c>
      <c r="N4" s="9" t="s">
        <v>103</v>
      </c>
      <c r="O4" s="9" t="s">
        <v>51</v>
      </c>
      <c r="P4" s="9" t="s">
        <v>104</v>
      </c>
      <c r="Q4" s="9" t="s">
        <v>112</v>
      </c>
      <c r="R4" s="9" t="s">
        <v>19</v>
      </c>
      <c r="S4" s="9" t="s">
        <v>25</v>
      </c>
      <c r="T4" s="9" t="s">
        <v>25</v>
      </c>
      <c r="U4" s="9" t="s">
        <v>19</v>
      </c>
      <c r="V4" s="9" t="s">
        <v>19</v>
      </c>
      <c r="W4" s="9" t="s">
        <v>113</v>
      </c>
      <c r="X4" s="9" t="s">
        <v>25</v>
      </c>
      <c r="Y4" s="9" t="s">
        <v>25</v>
      </c>
      <c r="Z4" s="10" t="s">
        <v>114</v>
      </c>
      <c r="AA4" s="12"/>
      <c r="AB4" s="12"/>
    </row>
    <row r="5" spans="1:28" ht="15.75" customHeight="1" x14ac:dyDescent="0.2">
      <c r="A5" s="8" t="s">
        <v>5</v>
      </c>
      <c r="B5" s="9" t="s">
        <v>115</v>
      </c>
      <c r="C5" s="9" t="s">
        <v>116</v>
      </c>
      <c r="D5" s="9" t="s">
        <v>117</v>
      </c>
      <c r="E5" s="9" t="s">
        <v>118</v>
      </c>
      <c r="F5" s="9" t="s">
        <v>119</v>
      </c>
      <c r="G5" s="9" t="s">
        <v>120</v>
      </c>
      <c r="H5" s="9" t="s">
        <v>108</v>
      </c>
      <c r="I5" s="9" t="s">
        <v>121</v>
      </c>
      <c r="J5" s="9" t="s">
        <v>25</v>
      </c>
      <c r="K5" s="9" t="s">
        <v>122</v>
      </c>
      <c r="L5" s="9" t="s">
        <v>123</v>
      </c>
      <c r="M5" s="9" t="s">
        <v>48</v>
      </c>
      <c r="N5" s="9" t="s">
        <v>103</v>
      </c>
      <c r="O5" s="9" t="s">
        <v>51</v>
      </c>
      <c r="P5" s="9" t="s">
        <v>104</v>
      </c>
      <c r="Q5" s="9" t="s">
        <v>124</v>
      </c>
      <c r="R5" s="9" t="s">
        <v>125</v>
      </c>
      <c r="S5" s="9" t="s">
        <v>126</v>
      </c>
      <c r="T5" s="9" t="s">
        <v>126</v>
      </c>
      <c r="U5" s="9" t="s">
        <v>106</v>
      </c>
      <c r="V5" s="9" t="s">
        <v>106</v>
      </c>
      <c r="W5" s="9" t="s">
        <v>106</v>
      </c>
      <c r="X5" s="9" t="s">
        <v>19</v>
      </c>
      <c r="Y5" s="9" t="s">
        <v>25</v>
      </c>
      <c r="Z5" s="10" t="s">
        <v>127</v>
      </c>
      <c r="AA5" s="12"/>
      <c r="AB5" s="12"/>
    </row>
    <row r="6" spans="1:28" ht="15.75" customHeight="1" x14ac:dyDescent="0.2">
      <c r="A6" s="13" t="s">
        <v>8</v>
      </c>
      <c r="B6" s="14" t="s">
        <v>128</v>
      </c>
      <c r="C6" s="9" t="s">
        <v>129</v>
      </c>
      <c r="D6" s="9" t="s">
        <v>106</v>
      </c>
      <c r="E6" s="9" t="s">
        <v>28</v>
      </c>
      <c r="F6" s="9" t="s">
        <v>31</v>
      </c>
      <c r="G6" s="9" t="s">
        <v>130</v>
      </c>
      <c r="H6" s="9" t="s">
        <v>108</v>
      </c>
      <c r="I6" s="9" t="s">
        <v>131</v>
      </c>
      <c r="J6" s="9" t="s">
        <v>132</v>
      </c>
      <c r="K6" s="9" t="s">
        <v>133</v>
      </c>
      <c r="L6" s="9" t="s">
        <v>134</v>
      </c>
      <c r="M6" s="9" t="s">
        <v>48</v>
      </c>
      <c r="N6" s="9" t="s">
        <v>103</v>
      </c>
      <c r="O6" s="9" t="s">
        <v>135</v>
      </c>
      <c r="P6" s="9" t="s">
        <v>136</v>
      </c>
      <c r="Q6" s="9" t="s">
        <v>137</v>
      </c>
      <c r="R6" s="9" t="s">
        <v>19</v>
      </c>
      <c r="S6" s="9" t="s">
        <v>138</v>
      </c>
      <c r="T6" s="9" t="s">
        <v>139</v>
      </c>
      <c r="U6" s="9" t="s">
        <v>140</v>
      </c>
      <c r="V6" s="9" t="s">
        <v>141</v>
      </c>
      <c r="W6" s="9" t="s">
        <v>142</v>
      </c>
      <c r="X6" s="9" t="s">
        <v>143</v>
      </c>
      <c r="Y6" s="9" t="s">
        <v>19</v>
      </c>
      <c r="Z6" s="11" t="s">
        <v>144</v>
      </c>
      <c r="AA6" s="15"/>
      <c r="AB6" s="15"/>
    </row>
    <row r="7" spans="1:28" ht="15.75" customHeight="1" x14ac:dyDescent="0.2">
      <c r="A7" s="13" t="s">
        <v>9</v>
      </c>
      <c r="B7" s="9" t="s">
        <v>19</v>
      </c>
      <c r="C7" s="9" t="s">
        <v>145</v>
      </c>
      <c r="D7" s="9" t="s">
        <v>146</v>
      </c>
      <c r="E7" s="9" t="s">
        <v>28</v>
      </c>
      <c r="F7" s="9" t="s">
        <v>31</v>
      </c>
      <c r="G7" s="9" t="s">
        <v>34</v>
      </c>
      <c r="H7" s="9" t="s">
        <v>108</v>
      </c>
      <c r="I7" s="9" t="s">
        <v>19</v>
      </c>
      <c r="J7" s="9" t="s">
        <v>147</v>
      </c>
      <c r="K7" s="9" t="s">
        <v>133</v>
      </c>
      <c r="L7" s="9" t="s">
        <v>134</v>
      </c>
      <c r="M7" s="9" t="s">
        <v>48</v>
      </c>
      <c r="N7" s="9" t="s">
        <v>103</v>
      </c>
      <c r="O7" s="9" t="s">
        <v>135</v>
      </c>
      <c r="P7" s="9" t="s">
        <v>19</v>
      </c>
      <c r="Q7" s="9" t="s">
        <v>137</v>
      </c>
      <c r="R7" s="10"/>
      <c r="S7" s="10"/>
      <c r="T7" s="10"/>
      <c r="U7" s="9" t="s">
        <v>106</v>
      </c>
      <c r="V7" s="9" t="s">
        <v>106</v>
      </c>
      <c r="W7" s="9" t="s">
        <v>106</v>
      </c>
      <c r="X7" s="9" t="s">
        <v>19</v>
      </c>
      <c r="Y7" s="9" t="s">
        <v>148</v>
      </c>
      <c r="Z7" s="10"/>
      <c r="AA7" s="12"/>
      <c r="AB7" s="12"/>
    </row>
    <row r="8" spans="1:28" ht="15.75" customHeight="1" x14ac:dyDescent="0.2">
      <c r="A8" s="13" t="s">
        <v>11</v>
      </c>
      <c r="B8" s="14" t="s">
        <v>128</v>
      </c>
      <c r="C8" s="9" t="s">
        <v>149</v>
      </c>
      <c r="D8" s="9" t="s">
        <v>150</v>
      </c>
      <c r="E8" s="9" t="s">
        <v>151</v>
      </c>
      <c r="F8" s="9" t="s">
        <v>31</v>
      </c>
      <c r="G8" s="9" t="s">
        <v>152</v>
      </c>
      <c r="H8" s="9" t="s">
        <v>108</v>
      </c>
      <c r="I8" s="9" t="s">
        <v>153</v>
      </c>
      <c r="J8" s="9" t="s">
        <v>154</v>
      </c>
      <c r="K8" s="9" t="s">
        <v>155</v>
      </c>
      <c r="L8" s="9" t="s">
        <v>156</v>
      </c>
      <c r="M8" s="9" t="s">
        <v>48</v>
      </c>
      <c r="N8" s="9" t="s">
        <v>103</v>
      </c>
      <c r="O8" s="9" t="s">
        <v>157</v>
      </c>
      <c r="P8" s="9" t="s">
        <v>158</v>
      </c>
      <c r="Q8" s="9" t="s">
        <v>159</v>
      </c>
      <c r="R8" s="9" t="s">
        <v>19</v>
      </c>
      <c r="S8" s="9" t="s">
        <v>160</v>
      </c>
      <c r="T8" s="9" t="s">
        <v>161</v>
      </c>
      <c r="U8" s="9" t="s">
        <v>162</v>
      </c>
      <c r="V8" s="9" t="s">
        <v>163</v>
      </c>
      <c r="W8" s="11" t="s">
        <v>164</v>
      </c>
      <c r="X8" s="9" t="s">
        <v>19</v>
      </c>
      <c r="Y8" s="9" t="s">
        <v>165</v>
      </c>
      <c r="Z8" s="11" t="s">
        <v>166</v>
      </c>
      <c r="AA8" s="15"/>
      <c r="AB8" s="15"/>
    </row>
    <row r="9" spans="1:28" ht="15.75" customHeight="1" x14ac:dyDescent="0.2">
      <c r="A9" s="13" t="s">
        <v>13</v>
      </c>
      <c r="B9" s="9" t="s">
        <v>19</v>
      </c>
      <c r="C9" s="9" t="s">
        <v>145</v>
      </c>
      <c r="D9" s="9" t="s">
        <v>106</v>
      </c>
      <c r="E9" s="9" t="s">
        <v>28</v>
      </c>
      <c r="F9" s="9" t="s">
        <v>31</v>
      </c>
      <c r="G9" s="9" t="s">
        <v>130</v>
      </c>
      <c r="H9" s="9" t="s">
        <v>37</v>
      </c>
      <c r="I9" s="9" t="s">
        <v>19</v>
      </c>
      <c r="J9" s="9" t="s">
        <v>167</v>
      </c>
      <c r="K9" s="9" t="s">
        <v>42</v>
      </c>
      <c r="L9" s="9" t="s">
        <v>45</v>
      </c>
      <c r="M9" s="9" t="s">
        <v>48</v>
      </c>
      <c r="N9" s="9" t="s">
        <v>103</v>
      </c>
      <c r="O9" s="9" t="s">
        <v>51</v>
      </c>
      <c r="P9" s="9" t="s">
        <v>104</v>
      </c>
      <c r="Q9" s="9" t="s">
        <v>105</v>
      </c>
      <c r="R9" s="10"/>
      <c r="S9" s="10"/>
      <c r="T9" s="10"/>
      <c r="U9" s="9" t="s">
        <v>106</v>
      </c>
      <c r="V9" s="9" t="s">
        <v>106</v>
      </c>
      <c r="W9" s="9" t="s">
        <v>106</v>
      </c>
      <c r="X9" s="9" t="s">
        <v>19</v>
      </c>
      <c r="Y9" s="9" t="s">
        <v>168</v>
      </c>
      <c r="Z9" s="10" t="s">
        <v>169</v>
      </c>
      <c r="AA9" s="12"/>
      <c r="AB9" s="12"/>
    </row>
    <row r="10" spans="1:28" ht="15.75" customHeight="1" x14ac:dyDescent="0.2">
      <c r="A10" s="13" t="s">
        <v>14</v>
      </c>
      <c r="B10" s="9" t="s">
        <v>19</v>
      </c>
      <c r="C10" s="9" t="s">
        <v>149</v>
      </c>
      <c r="D10" s="9" t="s">
        <v>170</v>
      </c>
      <c r="E10" s="9" t="s">
        <v>28</v>
      </c>
      <c r="F10" s="9" t="s">
        <v>31</v>
      </c>
      <c r="G10" s="9" t="s">
        <v>34</v>
      </c>
      <c r="H10" s="9" t="s">
        <v>108</v>
      </c>
      <c r="I10" s="9" t="s">
        <v>19</v>
      </c>
      <c r="J10" s="9" t="s">
        <v>171</v>
      </c>
      <c r="K10" s="9" t="s">
        <v>172</v>
      </c>
      <c r="L10" s="9" t="s">
        <v>123</v>
      </c>
      <c r="M10" s="9" t="s">
        <v>48</v>
      </c>
      <c r="N10" s="9" t="s">
        <v>103</v>
      </c>
      <c r="O10" s="9" t="s">
        <v>51</v>
      </c>
      <c r="P10" s="9" t="s">
        <v>104</v>
      </c>
      <c r="Q10" s="9" t="s">
        <v>159</v>
      </c>
      <c r="R10" s="9" t="s">
        <v>173</v>
      </c>
      <c r="S10" s="9" t="s">
        <v>19</v>
      </c>
      <c r="T10" s="9" t="s">
        <v>19</v>
      </c>
      <c r="U10" s="9" t="s">
        <v>19</v>
      </c>
      <c r="V10" s="9" t="s">
        <v>19</v>
      </c>
      <c r="W10" s="9" t="s">
        <v>174</v>
      </c>
      <c r="X10" s="9" t="s">
        <v>175</v>
      </c>
      <c r="Y10" s="9" t="s">
        <v>176</v>
      </c>
      <c r="Z10" s="10" t="s">
        <v>177</v>
      </c>
      <c r="AA10" s="12"/>
      <c r="AB10" s="12"/>
    </row>
    <row r="11" spans="1:28" ht="15.75" customHeight="1" x14ac:dyDescent="0.2">
      <c r="A11" s="13" t="s">
        <v>16</v>
      </c>
      <c r="B11" s="14" t="s">
        <v>128</v>
      </c>
      <c r="C11" s="9" t="s">
        <v>22</v>
      </c>
      <c r="D11" s="10" t="s">
        <v>106</v>
      </c>
      <c r="E11" s="9" t="s">
        <v>28</v>
      </c>
      <c r="F11" s="9" t="s">
        <v>31</v>
      </c>
      <c r="G11" s="9" t="s">
        <v>34</v>
      </c>
      <c r="H11" s="9" t="s">
        <v>108</v>
      </c>
      <c r="I11" s="9" t="s">
        <v>19</v>
      </c>
      <c r="J11" s="9" t="s">
        <v>178</v>
      </c>
      <c r="K11" s="9" t="s">
        <v>42</v>
      </c>
      <c r="L11" s="9" t="s">
        <v>45</v>
      </c>
      <c r="M11" s="9" t="s">
        <v>48</v>
      </c>
      <c r="N11" s="9" t="s">
        <v>103</v>
      </c>
      <c r="O11" s="9" t="s">
        <v>51</v>
      </c>
      <c r="P11" s="9" t="s">
        <v>104</v>
      </c>
      <c r="Q11" s="9" t="s">
        <v>105</v>
      </c>
      <c r="R11" s="9" t="s">
        <v>179</v>
      </c>
      <c r="S11" s="9" t="s">
        <v>19</v>
      </c>
      <c r="T11" s="9" t="s">
        <v>180</v>
      </c>
      <c r="U11" s="9" t="s">
        <v>106</v>
      </c>
      <c r="V11" s="9" t="s">
        <v>106</v>
      </c>
      <c r="W11" s="11" t="s">
        <v>181</v>
      </c>
      <c r="X11" s="9" t="s">
        <v>19</v>
      </c>
      <c r="Y11" s="9" t="s">
        <v>182</v>
      </c>
      <c r="Z11" s="10" t="s">
        <v>183</v>
      </c>
      <c r="AA11" s="12"/>
      <c r="AB11" s="12"/>
    </row>
    <row r="12" spans="1:28" ht="15.75" customHeight="1" x14ac:dyDescent="0.2">
      <c r="A12" s="13" t="s">
        <v>17</v>
      </c>
      <c r="B12" s="14" t="s">
        <v>128</v>
      </c>
      <c r="C12" s="9" t="s">
        <v>149</v>
      </c>
      <c r="D12" s="9" t="s">
        <v>184</v>
      </c>
      <c r="E12" s="9" t="s">
        <v>28</v>
      </c>
      <c r="F12" s="9" t="s">
        <v>31</v>
      </c>
      <c r="G12" s="9" t="s">
        <v>34</v>
      </c>
      <c r="H12" s="9" t="s">
        <v>108</v>
      </c>
      <c r="I12" s="9" t="s">
        <v>19</v>
      </c>
      <c r="J12" s="9" t="s">
        <v>185</v>
      </c>
      <c r="K12" s="9" t="s">
        <v>172</v>
      </c>
      <c r="L12" s="9" t="s">
        <v>186</v>
      </c>
      <c r="M12" s="9" t="s">
        <v>48</v>
      </c>
      <c r="N12" s="9" t="s">
        <v>103</v>
      </c>
      <c r="O12" s="9" t="s">
        <v>187</v>
      </c>
      <c r="P12" s="9" t="s">
        <v>188</v>
      </c>
      <c r="Q12" s="9" t="s">
        <v>189</v>
      </c>
      <c r="R12" s="9" t="s">
        <v>190</v>
      </c>
      <c r="S12" s="9" t="s">
        <v>19</v>
      </c>
      <c r="T12" s="9" t="s">
        <v>191</v>
      </c>
      <c r="U12" s="9" t="s">
        <v>19</v>
      </c>
      <c r="V12" s="9" t="s">
        <v>19</v>
      </c>
      <c r="W12" s="11" t="s">
        <v>192</v>
      </c>
      <c r="X12" s="9" t="s">
        <v>193</v>
      </c>
      <c r="Y12" s="9" t="s">
        <v>194</v>
      </c>
      <c r="Z12" s="11" t="s">
        <v>195</v>
      </c>
      <c r="AA12" s="15"/>
      <c r="AB12" s="15"/>
    </row>
    <row r="13" spans="1:28" ht="15.75" customHeight="1" x14ac:dyDescent="0.2">
      <c r="A13" s="13" t="s">
        <v>20</v>
      </c>
      <c r="B13" s="9" t="s">
        <v>19</v>
      </c>
      <c r="C13" s="9" t="s">
        <v>129</v>
      </c>
      <c r="D13" s="9" t="s">
        <v>196</v>
      </c>
      <c r="E13" s="9" t="s">
        <v>28</v>
      </c>
      <c r="F13" s="9" t="s">
        <v>31</v>
      </c>
      <c r="G13" s="10" t="s">
        <v>130</v>
      </c>
      <c r="H13" s="9" t="s">
        <v>37</v>
      </c>
      <c r="I13" s="9" t="s">
        <v>19</v>
      </c>
      <c r="J13" s="9" t="s">
        <v>197</v>
      </c>
      <c r="K13" s="9" t="s">
        <v>42</v>
      </c>
      <c r="L13" s="9" t="s">
        <v>45</v>
      </c>
      <c r="M13" s="9" t="s">
        <v>48</v>
      </c>
      <c r="N13" s="9" t="s">
        <v>103</v>
      </c>
      <c r="O13" s="9" t="s">
        <v>198</v>
      </c>
      <c r="P13" s="9" t="s">
        <v>104</v>
      </c>
      <c r="Q13" s="9" t="s">
        <v>199</v>
      </c>
      <c r="R13" s="10" t="s">
        <v>19</v>
      </c>
      <c r="S13" s="10" t="s">
        <v>200</v>
      </c>
      <c r="T13" s="10" t="s">
        <v>19</v>
      </c>
      <c r="U13" s="9" t="s">
        <v>19</v>
      </c>
      <c r="V13" s="9" t="s">
        <v>19</v>
      </c>
      <c r="W13" s="9" t="s">
        <v>201</v>
      </c>
      <c r="X13" s="9" t="s">
        <v>19</v>
      </c>
      <c r="Y13" s="9" t="s">
        <v>202</v>
      </c>
      <c r="Z13" s="10" t="s">
        <v>203</v>
      </c>
      <c r="AA13" s="12"/>
      <c r="AB13" s="12"/>
    </row>
    <row r="14" spans="1:28" ht="15.75" customHeight="1" x14ac:dyDescent="0.2">
      <c r="A14" s="13" t="s">
        <v>23</v>
      </c>
      <c r="B14" s="9" t="s">
        <v>19</v>
      </c>
      <c r="C14" s="9" t="s">
        <v>204</v>
      </c>
      <c r="D14" s="9" t="s">
        <v>205</v>
      </c>
      <c r="E14" s="9" t="s">
        <v>28</v>
      </c>
      <c r="F14" s="9" t="s">
        <v>31</v>
      </c>
      <c r="G14" s="9" t="s">
        <v>130</v>
      </c>
      <c r="H14" s="9" t="s">
        <v>37</v>
      </c>
      <c r="I14" s="9" t="s">
        <v>19</v>
      </c>
      <c r="J14" s="9" t="s">
        <v>206</v>
      </c>
      <c r="K14" s="9" t="s">
        <v>133</v>
      </c>
      <c r="L14" s="9" t="s">
        <v>207</v>
      </c>
      <c r="M14" s="9" t="s">
        <v>48</v>
      </c>
      <c r="N14" s="9" t="s">
        <v>103</v>
      </c>
      <c r="O14" s="9" t="s">
        <v>208</v>
      </c>
      <c r="P14" s="9" t="s">
        <v>209</v>
      </c>
      <c r="Q14" s="9" t="s">
        <v>199</v>
      </c>
      <c r="R14" s="9" t="s">
        <v>210</v>
      </c>
      <c r="S14" s="9" t="s">
        <v>211</v>
      </c>
      <c r="T14" s="9" t="s">
        <v>19</v>
      </c>
      <c r="U14" s="9" t="s">
        <v>212</v>
      </c>
      <c r="V14" s="9" t="s">
        <v>213</v>
      </c>
      <c r="W14" s="9" t="s">
        <v>214</v>
      </c>
      <c r="X14" s="9" t="s">
        <v>19</v>
      </c>
      <c r="Y14" s="9" t="s">
        <v>215</v>
      </c>
      <c r="Z14" s="11" t="s">
        <v>216</v>
      </c>
      <c r="AA14" s="15"/>
      <c r="AB14" s="15"/>
    </row>
    <row r="15" spans="1:28" ht="15.75" customHeight="1" x14ac:dyDescent="0.2">
      <c r="A15" s="13" t="s">
        <v>26</v>
      </c>
      <c r="B15" s="9" t="s">
        <v>19</v>
      </c>
      <c r="C15" s="9" t="s">
        <v>116</v>
      </c>
      <c r="D15" s="9" t="s">
        <v>217</v>
      </c>
      <c r="E15" s="9" t="s">
        <v>118</v>
      </c>
      <c r="F15" s="9" t="s">
        <v>119</v>
      </c>
      <c r="G15" s="9" t="s">
        <v>218</v>
      </c>
      <c r="H15" s="9" t="s">
        <v>37</v>
      </c>
      <c r="I15" s="9" t="s">
        <v>219</v>
      </c>
      <c r="J15" s="9" t="s">
        <v>220</v>
      </c>
      <c r="K15" s="9" t="s">
        <v>172</v>
      </c>
      <c r="L15" s="10" t="s">
        <v>221</v>
      </c>
      <c r="M15" s="9" t="s">
        <v>48</v>
      </c>
      <c r="N15" s="9" t="s">
        <v>103</v>
      </c>
      <c r="O15" s="9" t="s">
        <v>51</v>
      </c>
      <c r="P15" s="9" t="s">
        <v>222</v>
      </c>
      <c r="Q15" s="9" t="s">
        <v>124</v>
      </c>
      <c r="R15" s="10" t="s">
        <v>223</v>
      </c>
      <c r="S15" s="10" t="s">
        <v>224</v>
      </c>
      <c r="T15" s="10" t="s">
        <v>224</v>
      </c>
      <c r="U15" s="9" t="s">
        <v>224</v>
      </c>
      <c r="V15" s="9" t="s">
        <v>225</v>
      </c>
      <c r="W15" s="9" t="s">
        <v>226</v>
      </c>
      <c r="X15" s="9" t="s">
        <v>227</v>
      </c>
      <c r="Y15" s="9" t="s">
        <v>19</v>
      </c>
      <c r="Z15" s="10" t="s">
        <v>228</v>
      </c>
      <c r="AA15" s="12"/>
      <c r="AB15" s="12"/>
    </row>
    <row r="16" spans="1:28" ht="15.75" customHeight="1" x14ac:dyDescent="0.2">
      <c r="A16" s="8" t="s">
        <v>29</v>
      </c>
      <c r="B16" s="9" t="s">
        <v>19</v>
      </c>
      <c r="C16" s="10" t="s">
        <v>22</v>
      </c>
      <c r="D16" s="9" t="s">
        <v>229</v>
      </c>
      <c r="E16" s="9" t="s">
        <v>28</v>
      </c>
      <c r="F16" s="9" t="s">
        <v>31</v>
      </c>
      <c r="G16" s="9" t="s">
        <v>34</v>
      </c>
      <c r="H16" s="9" t="s">
        <v>108</v>
      </c>
      <c r="I16" s="9" t="s">
        <v>19</v>
      </c>
      <c r="J16" s="9" t="s">
        <v>230</v>
      </c>
      <c r="K16" s="9" t="s">
        <v>42</v>
      </c>
      <c r="L16" s="9" t="s">
        <v>45</v>
      </c>
      <c r="M16" s="9" t="s">
        <v>48</v>
      </c>
      <c r="N16" s="9" t="s">
        <v>103</v>
      </c>
      <c r="O16" s="9" t="s">
        <v>51</v>
      </c>
      <c r="P16" s="9" t="s">
        <v>104</v>
      </c>
      <c r="Q16" s="9" t="s">
        <v>105</v>
      </c>
      <c r="R16" s="10"/>
      <c r="S16" s="10"/>
      <c r="T16" s="10"/>
      <c r="U16" s="9" t="s">
        <v>106</v>
      </c>
      <c r="V16" s="9" t="s">
        <v>106</v>
      </c>
      <c r="W16" s="9" t="s">
        <v>106</v>
      </c>
      <c r="X16" s="9" t="s">
        <v>19</v>
      </c>
      <c r="Y16" s="9" t="s">
        <v>231</v>
      </c>
      <c r="Z16" s="10"/>
      <c r="AA16" s="12"/>
      <c r="AB16" s="12"/>
    </row>
    <row r="17" spans="1:28" ht="15.75" customHeight="1" x14ac:dyDescent="0.2">
      <c r="A17" s="13" t="s">
        <v>32</v>
      </c>
      <c r="B17" s="14" t="s">
        <v>128</v>
      </c>
      <c r="C17" s="10" t="s">
        <v>232</v>
      </c>
      <c r="D17" s="9" t="s">
        <v>233</v>
      </c>
      <c r="E17" s="9" t="s">
        <v>28</v>
      </c>
      <c r="F17" s="9" t="s">
        <v>234</v>
      </c>
      <c r="G17" s="9" t="s">
        <v>235</v>
      </c>
      <c r="H17" s="9" t="s">
        <v>108</v>
      </c>
      <c r="I17" s="9" t="s">
        <v>19</v>
      </c>
      <c r="J17" s="9" t="s">
        <v>236</v>
      </c>
      <c r="K17" s="9" t="s">
        <v>172</v>
      </c>
      <c r="L17" s="9" t="s">
        <v>123</v>
      </c>
      <c r="M17" s="9" t="s">
        <v>48</v>
      </c>
      <c r="N17" s="9" t="s">
        <v>103</v>
      </c>
      <c r="O17" s="9" t="s">
        <v>237</v>
      </c>
      <c r="P17" s="9" t="s">
        <v>104</v>
      </c>
      <c r="Q17" s="9" t="s">
        <v>238</v>
      </c>
      <c r="R17" s="10" t="s">
        <v>239</v>
      </c>
      <c r="S17" s="10" t="s">
        <v>224</v>
      </c>
      <c r="T17" s="10" t="s">
        <v>19</v>
      </c>
      <c r="U17" s="9" t="s">
        <v>240</v>
      </c>
      <c r="V17" s="9" t="s">
        <v>19</v>
      </c>
      <c r="W17" s="9" t="s">
        <v>19</v>
      </c>
      <c r="X17" s="9" t="s">
        <v>19</v>
      </c>
      <c r="Y17" s="9" t="s">
        <v>241</v>
      </c>
      <c r="Z17" s="16" t="s">
        <v>242</v>
      </c>
      <c r="AA17" s="17"/>
      <c r="AB17" s="17"/>
    </row>
    <row r="18" spans="1:28" ht="15.75" customHeight="1" x14ac:dyDescent="0.2">
      <c r="A18" s="13" t="s">
        <v>35</v>
      </c>
      <c r="B18" s="14" t="s">
        <v>128</v>
      </c>
      <c r="C18" s="9" t="s">
        <v>243</v>
      </c>
      <c r="D18" s="9" t="s">
        <v>244</v>
      </c>
      <c r="E18" s="9" t="s">
        <v>28</v>
      </c>
      <c r="F18" s="9" t="s">
        <v>31</v>
      </c>
      <c r="G18" s="9" t="s">
        <v>34</v>
      </c>
      <c r="H18" s="9" t="s">
        <v>34</v>
      </c>
      <c r="I18" s="9" t="s">
        <v>19</v>
      </c>
      <c r="J18" s="9" t="s">
        <v>245</v>
      </c>
      <c r="K18" s="9" t="s">
        <v>246</v>
      </c>
      <c r="L18" s="9" t="s">
        <v>247</v>
      </c>
      <c r="M18" s="9" t="s">
        <v>48</v>
      </c>
      <c r="N18" s="9" t="s">
        <v>103</v>
      </c>
      <c r="O18" s="9" t="s">
        <v>51</v>
      </c>
      <c r="P18" s="9" t="s">
        <v>104</v>
      </c>
      <c r="Q18" s="9" t="s">
        <v>248</v>
      </c>
      <c r="R18" s="9" t="s">
        <v>249</v>
      </c>
      <c r="S18" s="9" t="s">
        <v>250</v>
      </c>
      <c r="T18" s="9" t="s">
        <v>19</v>
      </c>
      <c r="U18" s="9" t="s">
        <v>251</v>
      </c>
      <c r="V18" s="9" t="s">
        <v>252</v>
      </c>
      <c r="W18" s="9" t="s">
        <v>214</v>
      </c>
      <c r="X18" s="9" t="s">
        <v>19</v>
      </c>
      <c r="Y18" s="9" t="s">
        <v>253</v>
      </c>
      <c r="Z18" s="11" t="s">
        <v>254</v>
      </c>
      <c r="AA18" s="15"/>
      <c r="AB18" s="15"/>
    </row>
    <row r="19" spans="1:28" ht="15.75" customHeight="1" x14ac:dyDescent="0.2">
      <c r="A19" s="13" t="s">
        <v>38</v>
      </c>
      <c r="B19" s="14" t="s">
        <v>128</v>
      </c>
      <c r="C19" s="9" t="s">
        <v>145</v>
      </c>
      <c r="D19" s="9" t="s">
        <v>224</v>
      </c>
      <c r="E19" s="9" t="s">
        <v>255</v>
      </c>
      <c r="F19" s="9" t="s">
        <v>31</v>
      </c>
      <c r="G19" s="9" t="s">
        <v>256</v>
      </c>
      <c r="H19" s="9" t="s">
        <v>108</v>
      </c>
      <c r="I19" s="9" t="s">
        <v>19</v>
      </c>
      <c r="J19" s="9" t="s">
        <v>257</v>
      </c>
      <c r="K19" s="9" t="s">
        <v>246</v>
      </c>
      <c r="L19" s="9" t="s">
        <v>134</v>
      </c>
      <c r="M19" s="9" t="s">
        <v>48</v>
      </c>
      <c r="N19" s="9" t="s">
        <v>103</v>
      </c>
      <c r="O19" s="9" t="s">
        <v>258</v>
      </c>
      <c r="P19" s="9" t="s">
        <v>259</v>
      </c>
      <c r="Q19" s="9" t="s">
        <v>159</v>
      </c>
      <c r="R19" s="9" t="s">
        <v>260</v>
      </c>
      <c r="S19" s="9" t="s">
        <v>261</v>
      </c>
      <c r="T19" s="9" t="s">
        <v>19</v>
      </c>
      <c r="U19" s="9" t="s">
        <v>262</v>
      </c>
      <c r="V19" s="9" t="s">
        <v>19</v>
      </c>
      <c r="W19" s="9" t="s">
        <v>19</v>
      </c>
      <c r="X19" s="9" t="s">
        <v>19</v>
      </c>
      <c r="Y19" s="9" t="s">
        <v>263</v>
      </c>
      <c r="Z19" s="11" t="s">
        <v>264</v>
      </c>
      <c r="AA19" s="15"/>
      <c r="AB19" s="15"/>
    </row>
    <row r="20" spans="1:28" ht="15.75" customHeight="1" x14ac:dyDescent="0.2">
      <c r="A20" s="13" t="s">
        <v>40</v>
      </c>
      <c r="B20" s="9" t="s">
        <v>19</v>
      </c>
      <c r="C20" s="9" t="s">
        <v>22</v>
      </c>
      <c r="D20" s="9" t="s">
        <v>19</v>
      </c>
      <c r="E20" s="9" t="s">
        <v>28</v>
      </c>
      <c r="F20" s="9" t="s">
        <v>234</v>
      </c>
      <c r="G20" s="9" t="s">
        <v>34</v>
      </c>
      <c r="H20" s="9" t="s">
        <v>108</v>
      </c>
      <c r="I20" s="9" t="s">
        <v>19</v>
      </c>
      <c r="J20" s="9" t="s">
        <v>265</v>
      </c>
      <c r="K20" s="9" t="s">
        <v>42</v>
      </c>
      <c r="L20" s="9" t="s">
        <v>45</v>
      </c>
      <c r="M20" s="9" t="s">
        <v>48</v>
      </c>
      <c r="N20" s="9" t="s">
        <v>103</v>
      </c>
      <c r="O20" s="9" t="s">
        <v>51</v>
      </c>
      <c r="P20" s="9" t="s">
        <v>104</v>
      </c>
      <c r="Q20" s="9" t="s">
        <v>266</v>
      </c>
      <c r="R20" s="9"/>
      <c r="S20" s="9"/>
      <c r="T20" s="9"/>
      <c r="U20" s="9" t="s">
        <v>106</v>
      </c>
      <c r="V20" s="9" t="s">
        <v>106</v>
      </c>
      <c r="W20" s="9" t="s">
        <v>106</v>
      </c>
      <c r="X20" s="9" t="s">
        <v>19</v>
      </c>
      <c r="Y20" s="9" t="s">
        <v>267</v>
      </c>
      <c r="Z20" s="11"/>
      <c r="AA20" s="15"/>
      <c r="AB20" s="15"/>
    </row>
    <row r="21" spans="1:28" ht="15.75" customHeight="1" x14ac:dyDescent="0.2">
      <c r="A21" s="8" t="s">
        <v>43</v>
      </c>
      <c r="B21" s="9" t="s">
        <v>268</v>
      </c>
      <c r="C21" s="9" t="s">
        <v>129</v>
      </c>
      <c r="D21" s="9" t="s">
        <v>269</v>
      </c>
      <c r="E21" s="9" t="s">
        <v>28</v>
      </c>
      <c r="F21" s="9" t="s">
        <v>31</v>
      </c>
      <c r="G21" s="9" t="s">
        <v>130</v>
      </c>
      <c r="H21" s="9" t="s">
        <v>37</v>
      </c>
      <c r="I21" s="9" t="s">
        <v>19</v>
      </c>
      <c r="J21" s="9" t="s">
        <v>270</v>
      </c>
      <c r="K21" s="9" t="s">
        <v>133</v>
      </c>
      <c r="L21" s="9" t="s">
        <v>134</v>
      </c>
      <c r="M21" s="9" t="s">
        <v>48</v>
      </c>
      <c r="N21" s="9" t="s">
        <v>103</v>
      </c>
      <c r="O21" s="9" t="s">
        <v>135</v>
      </c>
      <c r="P21" s="9" t="s">
        <v>104</v>
      </c>
      <c r="Q21" s="9" t="s">
        <v>159</v>
      </c>
      <c r="R21" s="9" t="s">
        <v>271</v>
      </c>
      <c r="S21" s="9" t="s">
        <v>272</v>
      </c>
      <c r="T21" s="9" t="s">
        <v>19</v>
      </c>
      <c r="U21" s="9" t="s">
        <v>106</v>
      </c>
      <c r="V21" s="9" t="s">
        <v>106</v>
      </c>
      <c r="W21" s="9" t="s">
        <v>106</v>
      </c>
      <c r="X21" s="9" t="s">
        <v>19</v>
      </c>
      <c r="Y21" s="9" t="s">
        <v>273</v>
      </c>
      <c r="Z21" s="10" t="s">
        <v>274</v>
      </c>
      <c r="AA21" s="12"/>
      <c r="AB21" s="12"/>
    </row>
    <row r="22" spans="1:28" ht="15.75" customHeight="1" x14ac:dyDescent="0.2">
      <c r="A22" s="13" t="s">
        <v>46</v>
      </c>
      <c r="B22" s="14" t="s">
        <v>128</v>
      </c>
      <c r="C22" s="9" t="s">
        <v>22</v>
      </c>
      <c r="D22" s="9" t="s">
        <v>275</v>
      </c>
      <c r="E22" s="9" t="s">
        <v>28</v>
      </c>
      <c r="F22" s="9" t="s">
        <v>234</v>
      </c>
      <c r="G22" s="9" t="s">
        <v>218</v>
      </c>
      <c r="H22" s="9" t="s">
        <v>108</v>
      </c>
      <c r="I22" s="9" t="s">
        <v>19</v>
      </c>
      <c r="J22" s="9" t="s">
        <v>276</v>
      </c>
      <c r="K22" s="9" t="s">
        <v>172</v>
      </c>
      <c r="L22" s="9" t="s">
        <v>277</v>
      </c>
      <c r="M22" s="9" t="s">
        <v>48</v>
      </c>
      <c r="N22" s="9" t="s">
        <v>103</v>
      </c>
      <c r="O22" s="9" t="s">
        <v>278</v>
      </c>
      <c r="P22" s="9" t="s">
        <v>259</v>
      </c>
      <c r="Q22" s="9" t="s">
        <v>279</v>
      </c>
      <c r="R22" s="9" t="s">
        <v>260</v>
      </c>
      <c r="S22" s="9"/>
      <c r="T22" s="9" t="s">
        <v>280</v>
      </c>
      <c r="U22" s="9" t="s">
        <v>106</v>
      </c>
      <c r="V22" s="9" t="s">
        <v>106</v>
      </c>
      <c r="W22" s="11" t="s">
        <v>281</v>
      </c>
      <c r="X22" s="9" t="s">
        <v>19</v>
      </c>
      <c r="Y22" s="9" t="s">
        <v>282</v>
      </c>
      <c r="Z22" s="11" t="s">
        <v>283</v>
      </c>
      <c r="AA22" s="15"/>
      <c r="AB22" s="15"/>
    </row>
    <row r="23" spans="1:28" ht="15.75" customHeight="1" x14ac:dyDescent="0.2">
      <c r="A23" s="13" t="s">
        <v>49</v>
      </c>
      <c r="B23" s="9" t="s">
        <v>19</v>
      </c>
      <c r="C23" s="10" t="s">
        <v>145</v>
      </c>
      <c r="D23" s="9" t="s">
        <v>284</v>
      </c>
      <c r="E23" s="9" t="s">
        <v>28</v>
      </c>
      <c r="F23" s="9" t="s">
        <v>31</v>
      </c>
      <c r="G23" s="9" t="s">
        <v>285</v>
      </c>
      <c r="H23" s="9" t="s">
        <v>286</v>
      </c>
      <c r="I23" s="9" t="s">
        <v>19</v>
      </c>
      <c r="J23" s="9" t="s">
        <v>287</v>
      </c>
      <c r="K23" s="9" t="s">
        <v>288</v>
      </c>
      <c r="L23" s="9" t="s">
        <v>289</v>
      </c>
      <c r="M23" s="9" t="s">
        <v>48</v>
      </c>
      <c r="N23" s="9" t="s">
        <v>103</v>
      </c>
      <c r="O23" s="9" t="s">
        <v>135</v>
      </c>
      <c r="P23" s="9" t="s">
        <v>290</v>
      </c>
      <c r="Q23" s="9" t="s">
        <v>291</v>
      </c>
      <c r="R23" s="10" t="s">
        <v>292</v>
      </c>
      <c r="S23" s="9" t="s">
        <v>293</v>
      </c>
      <c r="T23" s="9" t="s">
        <v>294</v>
      </c>
      <c r="U23" s="9" t="s">
        <v>295</v>
      </c>
      <c r="V23" s="9" t="s">
        <v>296</v>
      </c>
      <c r="W23" s="9" t="s">
        <v>297</v>
      </c>
      <c r="X23" s="9" t="s">
        <v>19</v>
      </c>
      <c r="Y23" s="9" t="s">
        <v>298</v>
      </c>
      <c r="Z23" s="10" t="s">
        <v>299</v>
      </c>
      <c r="AA23" s="12"/>
      <c r="AB23" s="12"/>
    </row>
    <row r="24" spans="1:28" ht="15.75" customHeight="1" x14ac:dyDescent="0.2">
      <c r="A24" s="13" t="s">
        <v>52</v>
      </c>
      <c r="B24" s="9" t="s">
        <v>19</v>
      </c>
      <c r="C24" s="10" t="s">
        <v>22</v>
      </c>
      <c r="D24" s="9" t="s">
        <v>106</v>
      </c>
      <c r="E24" s="9" t="s">
        <v>28</v>
      </c>
      <c r="F24" s="9" t="s">
        <v>31</v>
      </c>
      <c r="G24" s="9" t="s">
        <v>300</v>
      </c>
      <c r="H24" s="9" t="s">
        <v>301</v>
      </c>
      <c r="I24" s="9" t="s">
        <v>19</v>
      </c>
      <c r="J24" s="9" t="s">
        <v>302</v>
      </c>
      <c r="K24" s="9" t="s">
        <v>303</v>
      </c>
      <c r="L24" s="9" t="s">
        <v>304</v>
      </c>
      <c r="M24" s="9" t="s">
        <v>48</v>
      </c>
      <c r="N24" s="9"/>
      <c r="O24" s="9"/>
      <c r="P24" s="9"/>
      <c r="Q24" s="9"/>
      <c r="R24" s="10"/>
      <c r="S24" s="10"/>
      <c r="T24" s="10"/>
      <c r="U24" s="9" t="s">
        <v>19</v>
      </c>
      <c r="V24" s="9" t="s">
        <v>19</v>
      </c>
      <c r="W24" s="9"/>
      <c r="X24" s="9"/>
      <c r="Y24" s="9"/>
      <c r="Z24" s="10" t="s">
        <v>305</v>
      </c>
      <c r="AA24" s="12"/>
      <c r="AB24" s="12"/>
    </row>
    <row r="25" spans="1:28" ht="15.75" customHeight="1" x14ac:dyDescent="0.2">
      <c r="A25" s="13" t="s">
        <v>55</v>
      </c>
      <c r="B25" s="14" t="s">
        <v>128</v>
      </c>
      <c r="C25" s="10" t="s">
        <v>22</v>
      </c>
      <c r="D25" s="9" t="s">
        <v>106</v>
      </c>
      <c r="E25" s="9" t="s">
        <v>28</v>
      </c>
      <c r="F25" s="9" t="s">
        <v>31</v>
      </c>
      <c r="G25" s="9" t="s">
        <v>34</v>
      </c>
      <c r="H25" s="9" t="s">
        <v>108</v>
      </c>
      <c r="I25" s="9" t="s">
        <v>306</v>
      </c>
      <c r="J25" s="9" t="s">
        <v>307</v>
      </c>
      <c r="K25" s="9" t="s">
        <v>42</v>
      </c>
      <c r="L25" s="9" t="s">
        <v>45</v>
      </c>
      <c r="M25" s="9" t="s">
        <v>48</v>
      </c>
      <c r="N25" s="9" t="s">
        <v>103</v>
      </c>
      <c r="O25" s="9" t="s">
        <v>51</v>
      </c>
      <c r="P25" s="9" t="s">
        <v>104</v>
      </c>
      <c r="Q25" s="9" t="s">
        <v>266</v>
      </c>
      <c r="R25" s="10"/>
      <c r="S25" s="10"/>
      <c r="T25" s="10"/>
      <c r="U25" s="9" t="s">
        <v>106</v>
      </c>
      <c r="V25" s="9" t="s">
        <v>106</v>
      </c>
      <c r="W25" s="9" t="s">
        <v>106</v>
      </c>
      <c r="X25" s="9" t="s">
        <v>19</v>
      </c>
      <c r="Y25" s="9" t="s">
        <v>308</v>
      </c>
      <c r="Z25" s="10" t="s">
        <v>309</v>
      </c>
      <c r="AA25" s="12"/>
      <c r="AB25" s="12"/>
    </row>
    <row r="26" spans="1:28" ht="15.75" customHeight="1" x14ac:dyDescent="0.2">
      <c r="A26" s="8" t="s">
        <v>57</v>
      </c>
      <c r="B26" s="9" t="s">
        <v>19</v>
      </c>
      <c r="C26" s="10" t="s">
        <v>22</v>
      </c>
      <c r="D26" s="9" t="s">
        <v>106</v>
      </c>
      <c r="E26" s="9" t="s">
        <v>28</v>
      </c>
      <c r="F26" s="9" t="s">
        <v>31</v>
      </c>
      <c r="G26" s="9" t="s">
        <v>34</v>
      </c>
      <c r="H26" s="9" t="s">
        <v>310</v>
      </c>
      <c r="I26" s="9" t="s">
        <v>19</v>
      </c>
      <c r="J26" s="9" t="s">
        <v>311</v>
      </c>
      <c r="K26" s="9" t="s">
        <v>42</v>
      </c>
      <c r="L26" s="9" t="s">
        <v>45</v>
      </c>
      <c r="M26" s="9" t="s">
        <v>48</v>
      </c>
      <c r="N26" s="9" t="s">
        <v>103</v>
      </c>
      <c r="O26" s="9" t="s">
        <v>51</v>
      </c>
      <c r="P26" s="9" t="s">
        <v>104</v>
      </c>
      <c r="Q26" s="9" t="s">
        <v>266</v>
      </c>
      <c r="R26" s="9" t="s">
        <v>106</v>
      </c>
      <c r="S26" s="9" t="s">
        <v>106</v>
      </c>
      <c r="T26" s="9" t="s">
        <v>106</v>
      </c>
      <c r="U26" s="9" t="s">
        <v>106</v>
      </c>
      <c r="V26" s="9" t="s">
        <v>106</v>
      </c>
      <c r="W26" s="9" t="s">
        <v>106</v>
      </c>
      <c r="X26" s="9" t="s">
        <v>19</v>
      </c>
      <c r="Y26" s="9" t="s">
        <v>312</v>
      </c>
      <c r="Z26" s="10"/>
      <c r="AA26" s="12"/>
      <c r="AB26" s="12"/>
    </row>
    <row r="27" spans="1:28" ht="15.75" customHeight="1" x14ac:dyDescent="0.2">
      <c r="A27" s="13" t="s">
        <v>58</v>
      </c>
      <c r="B27" s="14" t="s">
        <v>128</v>
      </c>
      <c r="C27" s="9" t="s">
        <v>313</v>
      </c>
      <c r="D27" s="9" t="s">
        <v>314</v>
      </c>
      <c r="E27" s="9" t="s">
        <v>28</v>
      </c>
      <c r="F27" s="9" t="s">
        <v>31</v>
      </c>
      <c r="G27" s="10" t="s">
        <v>235</v>
      </c>
      <c r="H27" s="9" t="s">
        <v>108</v>
      </c>
      <c r="I27" s="9" t="s">
        <v>19</v>
      </c>
      <c r="J27" s="9" t="s">
        <v>315</v>
      </c>
      <c r="K27" s="9" t="s">
        <v>122</v>
      </c>
      <c r="L27" s="9" t="s">
        <v>123</v>
      </c>
      <c r="M27" s="9" t="s">
        <v>48</v>
      </c>
      <c r="N27" s="9" t="s">
        <v>103</v>
      </c>
      <c r="O27" s="9" t="s">
        <v>51</v>
      </c>
      <c r="P27" s="9" t="s">
        <v>104</v>
      </c>
      <c r="Q27" s="9" t="s">
        <v>266</v>
      </c>
      <c r="R27" s="9" t="s">
        <v>316</v>
      </c>
      <c r="S27" s="10"/>
      <c r="T27" s="10"/>
      <c r="U27" s="9" t="s">
        <v>106</v>
      </c>
      <c r="V27" s="9" t="s">
        <v>106</v>
      </c>
      <c r="W27" s="9" t="s">
        <v>106</v>
      </c>
      <c r="X27" s="9" t="s">
        <v>19</v>
      </c>
      <c r="Y27" s="9" t="s">
        <v>317</v>
      </c>
      <c r="Z27" s="10" t="s">
        <v>318</v>
      </c>
      <c r="AA27" s="12"/>
      <c r="AB27" s="12"/>
    </row>
    <row r="28" spans="1:28" ht="15.75" customHeight="1" x14ac:dyDescent="0.2">
      <c r="A28" s="13" t="s">
        <v>59</v>
      </c>
      <c r="B28" s="9" t="s">
        <v>19</v>
      </c>
      <c r="C28" s="10" t="s">
        <v>22</v>
      </c>
      <c r="D28" s="9" t="s">
        <v>106</v>
      </c>
      <c r="E28" s="9" t="s">
        <v>118</v>
      </c>
      <c r="F28" s="9" t="s">
        <v>119</v>
      </c>
      <c r="G28" s="9" t="s">
        <v>34</v>
      </c>
      <c r="H28" s="9" t="s">
        <v>108</v>
      </c>
      <c r="I28" s="9" t="s">
        <v>219</v>
      </c>
      <c r="J28" s="9" t="s">
        <v>319</v>
      </c>
      <c r="K28" s="9" t="s">
        <v>42</v>
      </c>
      <c r="L28" s="9" t="s">
        <v>45</v>
      </c>
      <c r="M28" s="9" t="s">
        <v>48</v>
      </c>
      <c r="N28" s="9" t="s">
        <v>103</v>
      </c>
      <c r="O28" s="9" t="s">
        <v>51</v>
      </c>
      <c r="P28" s="9" t="s">
        <v>259</v>
      </c>
      <c r="Q28" s="9" t="s">
        <v>124</v>
      </c>
      <c r="R28" s="9" t="s">
        <v>316</v>
      </c>
      <c r="S28" s="9" t="s">
        <v>224</v>
      </c>
      <c r="T28" s="9" t="s">
        <v>224</v>
      </c>
      <c r="U28" s="9" t="s">
        <v>106</v>
      </c>
      <c r="V28" s="9" t="s">
        <v>225</v>
      </c>
      <c r="W28" s="9" t="s">
        <v>106</v>
      </c>
      <c r="X28" s="9" t="s">
        <v>19</v>
      </c>
      <c r="Y28" s="9" t="s">
        <v>320</v>
      </c>
      <c r="Z28" s="10"/>
      <c r="AA28" s="12"/>
      <c r="AB28" s="12"/>
    </row>
    <row r="29" spans="1:28" ht="15.75" customHeight="1" x14ac:dyDescent="0.2">
      <c r="A29" s="13" t="s">
        <v>61</v>
      </c>
      <c r="B29" s="9" t="s">
        <v>321</v>
      </c>
      <c r="C29" s="9" t="s">
        <v>322</v>
      </c>
      <c r="D29" s="9" t="s">
        <v>323</v>
      </c>
      <c r="E29" s="9" t="s">
        <v>324</v>
      </c>
      <c r="F29" s="9" t="s">
        <v>325</v>
      </c>
      <c r="G29" s="9" t="s">
        <v>326</v>
      </c>
      <c r="H29" s="9" t="s">
        <v>327</v>
      </c>
      <c r="I29" s="9" t="s">
        <v>328</v>
      </c>
      <c r="J29" s="9" t="s">
        <v>329</v>
      </c>
      <c r="K29" s="9" t="s">
        <v>330</v>
      </c>
      <c r="L29" s="9" t="s">
        <v>331</v>
      </c>
      <c r="M29" s="9" t="s">
        <v>332</v>
      </c>
      <c r="N29" s="9" t="s">
        <v>103</v>
      </c>
      <c r="O29" s="9" t="s">
        <v>333</v>
      </c>
      <c r="P29" s="9" t="s">
        <v>259</v>
      </c>
      <c r="Q29" s="9" t="s">
        <v>334</v>
      </c>
      <c r="R29" s="9" t="s">
        <v>316</v>
      </c>
      <c r="S29" s="9" t="s">
        <v>224</v>
      </c>
      <c r="T29" s="9" t="s">
        <v>224</v>
      </c>
      <c r="U29" s="9" t="s">
        <v>106</v>
      </c>
      <c r="V29" s="9" t="s">
        <v>225</v>
      </c>
      <c r="W29" s="11" t="s">
        <v>335</v>
      </c>
      <c r="X29" s="9" t="s">
        <v>19</v>
      </c>
      <c r="Y29" s="9" t="s">
        <v>336</v>
      </c>
      <c r="Z29" s="11" t="s">
        <v>337</v>
      </c>
      <c r="AA29" s="15"/>
      <c r="AB29" s="15"/>
    </row>
    <row r="30" spans="1:28" ht="15.75" customHeight="1" x14ac:dyDescent="0.2">
      <c r="A30" s="13" t="s">
        <v>62</v>
      </c>
      <c r="B30" s="14" t="s">
        <v>338</v>
      </c>
      <c r="C30" s="9" t="s">
        <v>116</v>
      </c>
      <c r="D30" s="9" t="s">
        <v>339</v>
      </c>
      <c r="E30" s="11" t="s">
        <v>340</v>
      </c>
      <c r="F30" s="9" t="s">
        <v>119</v>
      </c>
      <c r="G30" s="9" t="s">
        <v>34</v>
      </c>
      <c r="H30" s="9" t="s">
        <v>108</v>
      </c>
      <c r="I30" s="9" t="s">
        <v>341</v>
      </c>
      <c r="J30" s="9" t="s">
        <v>342</v>
      </c>
      <c r="K30" s="9" t="s">
        <v>330</v>
      </c>
      <c r="L30" s="9" t="s">
        <v>45</v>
      </c>
      <c r="M30" s="9" t="s">
        <v>332</v>
      </c>
      <c r="N30" s="9" t="s">
        <v>103</v>
      </c>
      <c r="O30" s="9" t="s">
        <v>343</v>
      </c>
      <c r="P30" s="9" t="s">
        <v>259</v>
      </c>
      <c r="Q30" s="9" t="s">
        <v>344</v>
      </c>
      <c r="R30" s="9" t="s">
        <v>316</v>
      </c>
      <c r="S30" s="9" t="s">
        <v>224</v>
      </c>
      <c r="T30" s="9" t="s">
        <v>224</v>
      </c>
      <c r="U30" s="9" t="s">
        <v>106</v>
      </c>
      <c r="V30" s="9" t="s">
        <v>225</v>
      </c>
      <c r="W30" s="11" t="s">
        <v>335</v>
      </c>
      <c r="X30" s="9" t="s">
        <v>126</v>
      </c>
      <c r="Y30" s="9" t="s">
        <v>345</v>
      </c>
      <c r="Z30" s="11" t="s">
        <v>346</v>
      </c>
      <c r="AA30" s="15"/>
      <c r="AB30" s="15"/>
    </row>
    <row r="31" spans="1:28" ht="15.75" customHeight="1" x14ac:dyDescent="0.2">
      <c r="A31" s="13" t="s">
        <v>64</v>
      </c>
      <c r="B31" s="9" t="s">
        <v>347</v>
      </c>
      <c r="C31" s="9" t="s">
        <v>129</v>
      </c>
      <c r="D31" s="9" t="s">
        <v>348</v>
      </c>
      <c r="E31" s="9" t="s">
        <v>28</v>
      </c>
      <c r="F31" s="9" t="s">
        <v>31</v>
      </c>
      <c r="G31" s="9" t="s">
        <v>34</v>
      </c>
      <c r="H31" s="9" t="s">
        <v>108</v>
      </c>
      <c r="I31" s="9" t="s">
        <v>19</v>
      </c>
      <c r="J31" s="9" t="s">
        <v>349</v>
      </c>
      <c r="K31" s="9" t="s">
        <v>42</v>
      </c>
      <c r="L31" s="9" t="s">
        <v>45</v>
      </c>
      <c r="M31" s="9" t="s">
        <v>48</v>
      </c>
      <c r="N31" s="9" t="s">
        <v>103</v>
      </c>
      <c r="O31" s="9" t="s">
        <v>51</v>
      </c>
      <c r="P31" s="9" t="s">
        <v>104</v>
      </c>
      <c r="Q31" s="9" t="s">
        <v>266</v>
      </c>
      <c r="R31" s="10"/>
      <c r="S31" s="10"/>
      <c r="T31" s="10"/>
      <c r="U31" s="9" t="s">
        <v>106</v>
      </c>
      <c r="V31" s="9" t="s">
        <v>106</v>
      </c>
      <c r="W31" s="11" t="s">
        <v>350</v>
      </c>
      <c r="X31" s="9" t="s">
        <v>19</v>
      </c>
      <c r="Y31" s="9" t="s">
        <v>351</v>
      </c>
      <c r="Z31" s="10" t="s">
        <v>352</v>
      </c>
      <c r="AA31" s="12"/>
      <c r="AB31" s="12"/>
    </row>
    <row r="32" spans="1:28" ht="15.75" customHeight="1" x14ac:dyDescent="0.2">
      <c r="A32" s="13" t="s">
        <v>66</v>
      </c>
      <c r="B32" s="14" t="s">
        <v>128</v>
      </c>
      <c r="C32" s="10" t="s">
        <v>353</v>
      </c>
      <c r="D32" s="9" t="s">
        <v>354</v>
      </c>
      <c r="E32" s="9" t="s">
        <v>28</v>
      </c>
      <c r="F32" s="9" t="s">
        <v>31</v>
      </c>
      <c r="G32" s="10" t="s">
        <v>355</v>
      </c>
      <c r="H32" s="9" t="s">
        <v>356</v>
      </c>
      <c r="I32" s="9" t="s">
        <v>153</v>
      </c>
      <c r="J32" s="9" t="s">
        <v>357</v>
      </c>
      <c r="K32" s="9" t="s">
        <v>358</v>
      </c>
      <c r="L32" s="9" t="s">
        <v>134</v>
      </c>
      <c r="M32" s="9" t="s">
        <v>48</v>
      </c>
      <c r="N32" s="9" t="s">
        <v>103</v>
      </c>
      <c r="O32" s="9" t="s">
        <v>135</v>
      </c>
      <c r="P32" s="9" t="s">
        <v>104</v>
      </c>
      <c r="Q32" s="9" t="s">
        <v>159</v>
      </c>
      <c r="R32" s="10" t="s">
        <v>19</v>
      </c>
      <c r="S32" s="10" t="s">
        <v>359</v>
      </c>
      <c r="T32" s="10" t="s">
        <v>19</v>
      </c>
      <c r="U32" s="9" t="s">
        <v>360</v>
      </c>
      <c r="V32" s="9" t="s">
        <v>361</v>
      </c>
      <c r="W32" s="9" t="s">
        <v>19</v>
      </c>
      <c r="X32" s="9" t="s">
        <v>19</v>
      </c>
      <c r="Y32" s="9" t="s">
        <v>362</v>
      </c>
      <c r="Z32" s="10" t="s">
        <v>363</v>
      </c>
      <c r="AA32" s="12"/>
      <c r="AB32" s="12"/>
    </row>
    <row r="33" spans="1:28" ht="15.75" customHeight="1" x14ac:dyDescent="0.2">
      <c r="A33" s="13" t="s">
        <v>68</v>
      </c>
      <c r="B33" s="14" t="s">
        <v>128</v>
      </c>
      <c r="C33" s="9" t="s">
        <v>22</v>
      </c>
      <c r="D33" s="9" t="s">
        <v>19</v>
      </c>
      <c r="E33" s="9" t="s">
        <v>364</v>
      </c>
      <c r="F33" s="9" t="s">
        <v>31</v>
      </c>
      <c r="G33" s="9" t="s">
        <v>256</v>
      </c>
      <c r="H33" s="9" t="s">
        <v>108</v>
      </c>
      <c r="I33" s="9" t="s">
        <v>365</v>
      </c>
      <c r="J33" s="9" t="s">
        <v>366</v>
      </c>
      <c r="K33" s="9" t="s">
        <v>367</v>
      </c>
      <c r="L33" s="9" t="s">
        <v>368</v>
      </c>
      <c r="M33" s="9" t="s">
        <v>369</v>
      </c>
      <c r="N33" s="9" t="s">
        <v>103</v>
      </c>
      <c r="O33" s="9" t="s">
        <v>370</v>
      </c>
      <c r="P33" s="9" t="s">
        <v>371</v>
      </c>
      <c r="Q33" s="9" t="s">
        <v>372</v>
      </c>
      <c r="R33" s="9" t="s">
        <v>373</v>
      </c>
      <c r="S33" s="9" t="s">
        <v>19</v>
      </c>
      <c r="T33" s="9" t="s">
        <v>374</v>
      </c>
      <c r="U33" s="9" t="s">
        <v>106</v>
      </c>
      <c r="V33" s="9" t="s">
        <v>106</v>
      </c>
      <c r="W33" s="11" t="s">
        <v>375</v>
      </c>
      <c r="X33" s="9" t="s">
        <v>19</v>
      </c>
      <c r="Y33" s="9" t="s">
        <v>376</v>
      </c>
      <c r="Z33" s="11" t="s">
        <v>377</v>
      </c>
      <c r="AA33" s="15"/>
      <c r="AB33" s="15"/>
    </row>
    <row r="34" spans="1:28" ht="114" customHeight="1" x14ac:dyDescent="0.2">
      <c r="A34" s="13" t="s">
        <v>70</v>
      </c>
      <c r="B34" s="14" t="s">
        <v>128</v>
      </c>
      <c r="C34" s="9" t="s">
        <v>204</v>
      </c>
      <c r="D34" s="9" t="s">
        <v>378</v>
      </c>
      <c r="E34" s="9" t="s">
        <v>28</v>
      </c>
      <c r="F34" s="9" t="s">
        <v>31</v>
      </c>
      <c r="G34" s="9" t="s">
        <v>34</v>
      </c>
      <c r="H34" s="9" t="s">
        <v>379</v>
      </c>
      <c r="I34" s="9" t="s">
        <v>19</v>
      </c>
      <c r="J34" s="9" t="s">
        <v>380</v>
      </c>
      <c r="K34" s="9" t="s">
        <v>381</v>
      </c>
      <c r="L34" s="9" t="s">
        <v>382</v>
      </c>
      <c r="M34" s="9" t="s">
        <v>48</v>
      </c>
      <c r="N34" s="9" t="s">
        <v>383</v>
      </c>
      <c r="O34" s="9" t="s">
        <v>384</v>
      </c>
      <c r="P34" s="9" t="s">
        <v>259</v>
      </c>
      <c r="Q34" s="9" t="s">
        <v>159</v>
      </c>
      <c r="R34" s="9" t="s">
        <v>19</v>
      </c>
      <c r="S34" s="9" t="s">
        <v>385</v>
      </c>
      <c r="T34" s="9" t="s">
        <v>386</v>
      </c>
      <c r="U34" s="9" t="s">
        <v>387</v>
      </c>
      <c r="V34" s="9" t="s">
        <v>388</v>
      </c>
      <c r="W34" s="11" t="s">
        <v>389</v>
      </c>
      <c r="X34" s="9" t="s">
        <v>19</v>
      </c>
      <c r="Y34" s="9" t="s">
        <v>390</v>
      </c>
      <c r="Z34" s="11" t="s">
        <v>391</v>
      </c>
      <c r="AA34" s="15"/>
      <c r="AB34" s="15"/>
    </row>
    <row r="35" spans="1:28" ht="15.75" customHeight="1" x14ac:dyDescent="0.2">
      <c r="A35" s="12"/>
      <c r="B35" s="18"/>
      <c r="C35" s="18"/>
      <c r="D35" s="18"/>
      <c r="E35" s="18"/>
      <c r="F35" s="19"/>
      <c r="G35" s="18"/>
      <c r="H35" s="18"/>
      <c r="I35" s="18"/>
      <c r="J35" s="18"/>
      <c r="K35" s="18"/>
      <c r="L35" s="18"/>
      <c r="M35" s="18"/>
      <c r="N35" s="18"/>
      <c r="O35" s="18"/>
      <c r="P35" s="18"/>
      <c r="Q35" s="18"/>
      <c r="R35" s="18"/>
      <c r="S35" s="18"/>
      <c r="T35" s="18"/>
      <c r="U35" s="18"/>
      <c r="V35" s="18"/>
      <c r="W35" s="18"/>
      <c r="X35" s="18"/>
      <c r="Y35" s="18"/>
      <c r="Z35" s="18"/>
      <c r="AA35" s="12"/>
      <c r="AB35" s="12"/>
    </row>
    <row r="36" spans="1:28" ht="15.75" customHeight="1" x14ac:dyDescent="0.2">
      <c r="A36" s="12"/>
      <c r="B36" s="18"/>
      <c r="C36" s="18"/>
      <c r="D36" s="18"/>
      <c r="E36" s="18"/>
      <c r="F36" s="19"/>
      <c r="G36" s="18"/>
      <c r="H36" s="18"/>
      <c r="I36" s="18"/>
      <c r="J36" s="18"/>
      <c r="K36" s="18"/>
      <c r="L36" s="18"/>
      <c r="M36" s="18"/>
      <c r="N36" s="18"/>
      <c r="O36" s="18"/>
      <c r="P36" s="18"/>
      <c r="Q36" s="18"/>
      <c r="R36" s="18"/>
      <c r="S36" s="18"/>
      <c r="T36" s="18"/>
      <c r="U36" s="18"/>
      <c r="V36" s="18"/>
      <c r="W36" s="18"/>
      <c r="X36" s="18"/>
      <c r="Y36" s="18"/>
      <c r="Z36" s="18"/>
      <c r="AA36" s="12"/>
      <c r="AB36" s="12"/>
    </row>
    <row r="37" spans="1:28" ht="15.75" customHeight="1" x14ac:dyDescent="0.2">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row>
    <row r="38" spans="1:28" ht="15.75" customHeight="1" x14ac:dyDescent="0.2">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row>
    <row r="39" spans="1:28" ht="15.75" customHeight="1" x14ac:dyDescent="0.2">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row>
    <row r="40" spans="1:28" ht="15.75" customHeight="1" x14ac:dyDescent="0.2">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row>
    <row r="41" spans="1:28" ht="15.75" customHeight="1" x14ac:dyDescent="0.2">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row>
    <row r="42" spans="1:28" ht="15.75" customHeight="1" x14ac:dyDescent="0.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row>
    <row r="43" spans="1:28" ht="15.75" customHeight="1" x14ac:dyDescent="0.2">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row>
    <row r="44" spans="1:28" ht="15.75" customHeight="1" x14ac:dyDescent="0.2">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row>
    <row r="45" spans="1:28" ht="15.75" customHeight="1" x14ac:dyDescent="0.2">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row>
    <row r="46" spans="1:28" ht="15.75" customHeight="1" x14ac:dyDescent="0.2">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row>
    <row r="47" spans="1:28" ht="15.75" customHeight="1" x14ac:dyDescent="0.2">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row>
    <row r="48" spans="1:28" ht="15.75" customHeight="1" x14ac:dyDescent="0.2">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row>
    <row r="49" spans="1:28" ht="15.75" customHeight="1" x14ac:dyDescent="0.2">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row>
    <row r="50" spans="1:28" ht="15.75" customHeight="1" x14ac:dyDescent="0.2">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row>
    <row r="51" spans="1:28" ht="15.75" customHeight="1" x14ac:dyDescent="0.2">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spans="1:28" ht="15.75" customHeight="1" x14ac:dyDescent="0.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spans="1:28" ht="15.75" customHeight="1" x14ac:dyDescent="0.2">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spans="1:28" ht="15.75" customHeight="1" x14ac:dyDescent="0.2">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row>
    <row r="55" spans="1:28" ht="15.75" customHeight="1" x14ac:dyDescent="0.2">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row>
    <row r="56" spans="1:28" ht="15.75" customHeight="1" x14ac:dyDescent="0.2">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row>
    <row r="57" spans="1:28" ht="15.75" customHeight="1" x14ac:dyDescent="0.2">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row>
    <row r="58" spans="1:28" ht="15.75" customHeight="1" x14ac:dyDescent="0.2">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row>
    <row r="59" spans="1:28" ht="15.75" customHeight="1" x14ac:dyDescent="0.2">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row>
    <row r="60" spans="1:28" ht="15.75" customHeight="1" x14ac:dyDescent="0.2">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row>
    <row r="61" spans="1:28" ht="15.75" customHeight="1" x14ac:dyDescent="0.2">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row>
    <row r="62" spans="1:28" ht="15.75" customHeight="1" x14ac:dyDescent="0.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row>
    <row r="63" spans="1:28" ht="15.75" customHeight="1" x14ac:dyDescent="0.2">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row>
    <row r="64" spans="1:28" ht="15.75" customHeight="1" x14ac:dyDescent="0.2">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row>
    <row r="65" spans="1:28" ht="15.75" customHeight="1" x14ac:dyDescent="0.2">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row>
    <row r="66" spans="1:28" ht="15.75" customHeight="1" x14ac:dyDescent="0.2">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row>
    <row r="67" spans="1:28" ht="15.75" customHeight="1" x14ac:dyDescent="0.2">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row>
    <row r="68" spans="1:28" ht="15.75" customHeight="1" x14ac:dyDescent="0.2">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row>
    <row r="69" spans="1:28" ht="15.75" customHeight="1" x14ac:dyDescent="0.2">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row>
    <row r="70" spans="1:28" ht="15.75" customHeight="1" x14ac:dyDescent="0.2">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row>
    <row r="71" spans="1:28" ht="15.75" customHeight="1" x14ac:dyDescent="0.2">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row>
    <row r="72" spans="1:28" ht="15.75" customHeight="1" x14ac:dyDescent="0.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row>
    <row r="73" spans="1:28" ht="15.75" customHeight="1" x14ac:dyDescent="0.2">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row>
    <row r="74" spans="1:28" ht="15.75" customHeight="1" x14ac:dyDescent="0.2">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row>
    <row r="75" spans="1:28" ht="15.75" customHeight="1" x14ac:dyDescent="0.2">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row>
    <row r="76" spans="1:28" ht="15.75" customHeight="1" x14ac:dyDescent="0.2">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row>
    <row r="77" spans="1:28" ht="15.75" customHeight="1" x14ac:dyDescent="0.2">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row>
    <row r="78" spans="1:28" ht="15.75" customHeight="1" x14ac:dyDescent="0.2">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spans="1:28" ht="15.75" customHeight="1" x14ac:dyDescent="0.2">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0" spans="1:28" ht="15.75" customHeight="1" x14ac:dyDescent="0.2">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row>
    <row r="81" spans="1:28" ht="15.75" customHeight="1" x14ac:dyDescent="0.2">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row>
    <row r="82" spans="1:28" ht="15.75" customHeight="1" x14ac:dyDescent="0.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row>
    <row r="83" spans="1:28" ht="15.75" customHeight="1" x14ac:dyDescent="0.2">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row>
    <row r="84" spans="1:28" ht="15.75" customHeight="1" x14ac:dyDescent="0.2">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row>
    <row r="85" spans="1:28" ht="15.75" customHeight="1" x14ac:dyDescent="0.2">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row>
    <row r="86" spans="1:28" ht="15.75" customHeight="1" x14ac:dyDescent="0.2">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spans="1:28" ht="15.75" customHeight="1" x14ac:dyDescent="0.2">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row>
    <row r="88" spans="1:28" ht="15.75" customHeight="1" x14ac:dyDescent="0.2">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row>
    <row r="89" spans="1:28" ht="15.75" customHeight="1" x14ac:dyDescent="0.2">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row>
    <row r="90" spans="1:28" ht="15.75" customHeight="1" x14ac:dyDescent="0.2">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row>
    <row r="91" spans="1:28" ht="15.75" customHeight="1" x14ac:dyDescent="0.2">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28" ht="15.75" customHeight="1" x14ac:dyDescent="0.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row>
    <row r="93" spans="1:28" ht="15.75" customHeight="1" x14ac:dyDescent="0.2">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row>
    <row r="94" spans="1:28" ht="15.75" customHeight="1" x14ac:dyDescent="0.2">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row>
    <row r="95" spans="1:28" ht="15.75" customHeight="1" x14ac:dyDescent="0.2">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spans="1:28" ht="15.75" customHeight="1" x14ac:dyDescent="0.2">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row>
    <row r="97" spans="1:28" ht="15.75" customHeight="1" x14ac:dyDescent="0.2">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row>
    <row r="98" spans="1:28" ht="15.75" customHeight="1" x14ac:dyDescent="0.2">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row>
    <row r="99" spans="1:28" ht="15.75" customHeight="1" x14ac:dyDescent="0.2">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row>
    <row r="100" spans="1:28" ht="15.75" customHeight="1" x14ac:dyDescent="0.2">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row>
    <row r="101" spans="1:28" ht="15.75" customHeight="1" x14ac:dyDescent="0.2">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row>
    <row r="102" spans="1:28" ht="15.75" customHeight="1" x14ac:dyDescent="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row>
    <row r="103" spans="1:28" ht="15.75" customHeight="1" x14ac:dyDescent="0.2">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row>
    <row r="104" spans="1:28" ht="15.75" customHeight="1" x14ac:dyDescent="0.2">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row>
    <row r="105" spans="1:28" ht="15.75" customHeight="1" x14ac:dyDescent="0.2">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row>
    <row r="106" spans="1:28" ht="15.75" customHeight="1" x14ac:dyDescent="0.2">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row>
    <row r="107" spans="1:28" ht="15.75" customHeight="1" x14ac:dyDescent="0.2">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row>
    <row r="108" spans="1:28" ht="15.75" customHeight="1" x14ac:dyDescent="0.2">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row>
    <row r="109" spans="1:28" ht="15.75" customHeight="1" x14ac:dyDescent="0.2">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row>
    <row r="110" spans="1:28" ht="15.75" customHeight="1" x14ac:dyDescent="0.2">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row>
    <row r="111" spans="1:28" ht="15.75" customHeight="1" x14ac:dyDescent="0.2">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row>
    <row r="112" spans="1:28" ht="15.75" customHeight="1" x14ac:dyDescent="0.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row>
    <row r="113" spans="1:28" ht="15.75" customHeight="1" x14ac:dyDescent="0.2">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row>
    <row r="114" spans="1:28" ht="15.75" customHeight="1" x14ac:dyDescent="0.2">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row>
    <row r="115" spans="1:28" ht="15.75" customHeight="1" x14ac:dyDescent="0.2">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row>
    <row r="116" spans="1:28" ht="15.75" customHeight="1" x14ac:dyDescent="0.2">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row>
    <row r="117" spans="1:28" ht="15.75" customHeight="1" x14ac:dyDescent="0.2">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row>
    <row r="118" spans="1:28" ht="15.75" customHeight="1" x14ac:dyDescent="0.2">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row>
    <row r="119" spans="1:28" ht="15.75" customHeight="1" x14ac:dyDescent="0.2">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row>
    <row r="120" spans="1:28" ht="15.75" customHeight="1" x14ac:dyDescent="0.2">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row>
    <row r="121" spans="1:28" ht="15.75" customHeight="1" x14ac:dyDescent="0.2">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row>
    <row r="122" spans="1:28" ht="15.75" customHeight="1" x14ac:dyDescent="0.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row>
    <row r="123" spans="1:28" ht="15.75" customHeight="1" x14ac:dyDescent="0.2">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row>
    <row r="124" spans="1:28" ht="15.75" customHeight="1" x14ac:dyDescent="0.2">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row>
    <row r="125" spans="1:28" ht="15.75" customHeight="1" x14ac:dyDescent="0.2">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row>
    <row r="126" spans="1:28" ht="15.75" customHeight="1" x14ac:dyDescent="0.2">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row>
    <row r="127" spans="1:28" ht="15.75" customHeight="1" x14ac:dyDescent="0.2">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row>
    <row r="128" spans="1:28" ht="15.75" customHeight="1" x14ac:dyDescent="0.2">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row>
    <row r="129" spans="1:28" ht="15.75" customHeight="1" x14ac:dyDescent="0.2">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row>
    <row r="130" spans="1:28" ht="15.75" customHeight="1" x14ac:dyDescent="0.2">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row>
    <row r="131" spans="1:28" ht="15.75" customHeight="1" x14ac:dyDescent="0.2">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row>
    <row r="132" spans="1:28" ht="15.75" customHeight="1" x14ac:dyDescent="0.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row>
    <row r="133" spans="1:28" ht="15.75" customHeight="1" x14ac:dyDescent="0.2">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row>
    <row r="134" spans="1:28" ht="15.75" customHeight="1" x14ac:dyDescent="0.2">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row>
    <row r="135" spans="1:28" ht="15.75" customHeight="1" x14ac:dyDescent="0.2">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row>
    <row r="136" spans="1:28" ht="15.75" customHeight="1" x14ac:dyDescent="0.2">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row>
    <row r="137" spans="1:28" ht="15.75" customHeight="1" x14ac:dyDescent="0.2">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row>
    <row r="138" spans="1:28" ht="15.75" customHeight="1" x14ac:dyDescent="0.2">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row>
    <row r="139" spans="1:28" ht="15.75" customHeight="1" x14ac:dyDescent="0.2">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row>
    <row r="140" spans="1:28" ht="15.75" customHeight="1" x14ac:dyDescent="0.2">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row>
    <row r="141" spans="1:28" ht="15.75" customHeight="1" x14ac:dyDescent="0.2">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row>
    <row r="142" spans="1:28" ht="15.75" customHeight="1" x14ac:dyDescent="0.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row>
    <row r="143" spans="1:28" ht="15.75" customHeight="1" x14ac:dyDescent="0.2">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row>
    <row r="144" spans="1:28" ht="15.75" customHeight="1" x14ac:dyDescent="0.2">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row>
    <row r="145" spans="1:28" ht="15.75" customHeight="1" x14ac:dyDescent="0.2">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row>
    <row r="146" spans="1:28" ht="15.75" customHeight="1" x14ac:dyDescent="0.2">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row>
    <row r="147" spans="1:28" ht="15.75" customHeight="1" x14ac:dyDescent="0.2">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row>
    <row r="148" spans="1:28" ht="15.75" customHeight="1" x14ac:dyDescent="0.2">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row>
    <row r="149" spans="1:28" ht="15.75" customHeight="1" x14ac:dyDescent="0.2">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row>
    <row r="150" spans="1:28" ht="15.75" customHeight="1" x14ac:dyDescent="0.2">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row>
    <row r="151" spans="1:28" ht="15.75" customHeight="1" x14ac:dyDescent="0.2">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row>
    <row r="152" spans="1:28" ht="15.75" customHeight="1" x14ac:dyDescent="0.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row>
    <row r="153" spans="1:28" ht="15.75" customHeight="1" x14ac:dyDescent="0.2">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row>
    <row r="154" spans="1:28" ht="15.75" customHeight="1" x14ac:dyDescent="0.2">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row>
    <row r="155" spans="1:28" ht="15.75" customHeight="1" x14ac:dyDescent="0.2">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row>
    <row r="156" spans="1:28" ht="15.75" customHeight="1" x14ac:dyDescent="0.2">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row>
    <row r="157" spans="1:28" ht="15.75" customHeight="1" x14ac:dyDescent="0.2">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row>
    <row r="158" spans="1:28" ht="15.75" customHeight="1" x14ac:dyDescent="0.2">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row>
    <row r="159" spans="1:28" ht="15.75" customHeight="1" x14ac:dyDescent="0.2">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row>
    <row r="160" spans="1:28" ht="15.75" customHeight="1" x14ac:dyDescent="0.2">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row>
    <row r="161" spans="1:28" ht="15.75" customHeight="1" x14ac:dyDescent="0.2">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row>
    <row r="162" spans="1:28" ht="15.75" customHeight="1" x14ac:dyDescent="0.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row>
    <row r="163" spans="1:28" ht="15.75" customHeight="1" x14ac:dyDescent="0.2">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row>
    <row r="164" spans="1:28" ht="15.75" customHeight="1" x14ac:dyDescent="0.2">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row>
    <row r="165" spans="1:28" ht="15.75" customHeight="1" x14ac:dyDescent="0.2">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row>
    <row r="166" spans="1:28" ht="15.75" customHeight="1" x14ac:dyDescent="0.2">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row>
    <row r="167" spans="1:28" ht="15.75" customHeight="1" x14ac:dyDescent="0.2">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row>
    <row r="168" spans="1:28" ht="15.75" customHeight="1" x14ac:dyDescent="0.2">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row>
    <row r="169" spans="1:28" ht="15.75" customHeight="1" x14ac:dyDescent="0.2">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row>
    <row r="170" spans="1:28" ht="15.75" customHeight="1" x14ac:dyDescent="0.2">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row>
    <row r="171" spans="1:28" ht="15.75" customHeight="1" x14ac:dyDescent="0.2">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row>
    <row r="172" spans="1:28" ht="15.75" customHeight="1" x14ac:dyDescent="0.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row>
    <row r="173" spans="1:28" ht="15.75" customHeight="1" x14ac:dyDescent="0.2">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row>
    <row r="174" spans="1:28" ht="15.75" customHeight="1" x14ac:dyDescent="0.2">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row>
    <row r="175" spans="1:28" ht="15.75" customHeight="1" x14ac:dyDescent="0.2">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row>
    <row r="176" spans="1:28" ht="15.75" customHeight="1" x14ac:dyDescent="0.2">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row>
    <row r="177" spans="1:28" ht="15.75" customHeight="1" x14ac:dyDescent="0.2">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row>
    <row r="178" spans="1:28" ht="15.75" customHeight="1" x14ac:dyDescent="0.2">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row>
    <row r="179" spans="1:28" ht="15.75" customHeight="1" x14ac:dyDescent="0.2">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row>
    <row r="180" spans="1:28" ht="15.75" customHeight="1" x14ac:dyDescent="0.2">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row>
    <row r="181" spans="1:28" ht="15.75" customHeight="1" x14ac:dyDescent="0.2">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row>
    <row r="182" spans="1:28" ht="15.75" customHeight="1" x14ac:dyDescent="0.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row>
    <row r="183" spans="1:28" ht="15.75" customHeight="1" x14ac:dyDescent="0.2">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row>
    <row r="184" spans="1:28" ht="15.75" customHeight="1" x14ac:dyDescent="0.2">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row>
    <row r="185" spans="1:28" ht="15.75" customHeight="1" x14ac:dyDescent="0.2">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row>
    <row r="186" spans="1:28" ht="15.75" customHeight="1" x14ac:dyDescent="0.2">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row>
    <row r="187" spans="1:28" ht="15.75" customHeight="1" x14ac:dyDescent="0.2">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row>
    <row r="188" spans="1:28" ht="15.75" customHeight="1" x14ac:dyDescent="0.2">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row>
    <row r="189" spans="1:28" ht="15.75" customHeight="1" x14ac:dyDescent="0.2">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row>
    <row r="190" spans="1:28" ht="15.75" customHeight="1" x14ac:dyDescent="0.2">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row>
    <row r="191" spans="1:28" ht="15.75" customHeight="1" x14ac:dyDescent="0.2">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row>
    <row r="192" spans="1:28" ht="15.75" customHeight="1" x14ac:dyDescent="0.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row>
    <row r="193" spans="1:28" ht="15.75" customHeight="1" x14ac:dyDescent="0.2">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row>
    <row r="194" spans="1:28" ht="15.75" customHeight="1" x14ac:dyDescent="0.2">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row>
    <row r="195" spans="1:28" ht="15.75" customHeight="1" x14ac:dyDescent="0.2">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row>
    <row r="196" spans="1:28" ht="15.75" customHeight="1" x14ac:dyDescent="0.2">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row>
    <row r="197" spans="1:28" ht="15.75" customHeight="1" x14ac:dyDescent="0.2">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row>
    <row r="198" spans="1:28" ht="15.75" customHeight="1" x14ac:dyDescent="0.2">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row>
    <row r="199" spans="1:28" ht="15.75" customHeight="1" x14ac:dyDescent="0.2">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row>
    <row r="200" spans="1:28" ht="15.75" customHeight="1" x14ac:dyDescent="0.2">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row>
    <row r="201" spans="1:28" ht="15.75" customHeight="1" x14ac:dyDescent="0.2">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row>
    <row r="202" spans="1:28" ht="15.75" customHeight="1" x14ac:dyDescent="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row>
    <row r="203" spans="1:28" ht="15.75" customHeight="1" x14ac:dyDescent="0.2">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row>
    <row r="204" spans="1:28" ht="15.75" customHeight="1" x14ac:dyDescent="0.2">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row>
    <row r="205" spans="1:28" ht="15.75" customHeight="1" x14ac:dyDescent="0.2">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row>
    <row r="206" spans="1:28" ht="15.75" customHeight="1" x14ac:dyDescent="0.2">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row>
    <row r="207" spans="1:28" ht="15.75" customHeight="1" x14ac:dyDescent="0.2">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row>
    <row r="208" spans="1:28" ht="15.75" customHeight="1" x14ac:dyDescent="0.2">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row>
    <row r="209" spans="1:28" ht="15.75" customHeight="1" x14ac:dyDescent="0.2">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row>
    <row r="210" spans="1:28" ht="15.75" customHeight="1" x14ac:dyDescent="0.2">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row>
    <row r="211" spans="1:28" ht="15.75" customHeight="1" x14ac:dyDescent="0.2">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row>
    <row r="212" spans="1:28" ht="15.75" customHeight="1" x14ac:dyDescent="0.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row>
    <row r="213" spans="1:28" ht="15.75" customHeight="1" x14ac:dyDescent="0.2">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row>
    <row r="214" spans="1:28" ht="15.75" customHeight="1" x14ac:dyDescent="0.2">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row>
    <row r="215" spans="1:28" ht="15.75" customHeight="1" x14ac:dyDescent="0.2">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row>
    <row r="216" spans="1:28" ht="15.75" customHeight="1" x14ac:dyDescent="0.2">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row>
    <row r="217" spans="1:28" ht="15.75" customHeight="1" x14ac:dyDescent="0.2">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row>
    <row r="218" spans="1:28" ht="15.75" customHeight="1" x14ac:dyDescent="0.2">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row>
    <row r="219" spans="1:28" ht="15.75" customHeight="1" x14ac:dyDescent="0.2">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row>
    <row r="220" spans="1:28" ht="15.75" customHeight="1" x14ac:dyDescent="0.2">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row>
    <row r="221" spans="1:28" ht="15.75" customHeight="1" x14ac:dyDescent="0.2">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row>
    <row r="222" spans="1:28" ht="15.75" customHeight="1" x14ac:dyDescent="0.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row>
    <row r="223" spans="1:28" ht="15.75" customHeight="1" x14ac:dyDescent="0.2">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row>
    <row r="224" spans="1:28" ht="15.75" customHeight="1" x14ac:dyDescent="0.2">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row>
    <row r="225" spans="1:28" ht="15.75" customHeight="1" x14ac:dyDescent="0.2">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row>
    <row r="226" spans="1:28" ht="15.75" customHeight="1" x14ac:dyDescent="0.2">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row>
    <row r="227" spans="1:28" ht="15.75" customHeight="1" x14ac:dyDescent="0.2">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row>
    <row r="228" spans="1:28" ht="15.75" customHeight="1" x14ac:dyDescent="0.2">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row>
    <row r="229" spans="1:28" ht="15.75" customHeight="1" x14ac:dyDescent="0.2">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row>
    <row r="230" spans="1:28" ht="15.75" customHeight="1" x14ac:dyDescent="0.2">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row>
    <row r="231" spans="1:28" ht="15.75" customHeight="1" x14ac:dyDescent="0.2">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row>
    <row r="232" spans="1:28" ht="15.75" customHeight="1" x14ac:dyDescent="0.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row>
    <row r="233" spans="1:28" ht="15.75" customHeight="1" x14ac:dyDescent="0.2">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row>
    <row r="234" spans="1:28" ht="15.75" customHeight="1" x14ac:dyDescent="0.2">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row>
    <row r="235" spans="1:28" ht="15.75" customHeight="1" x14ac:dyDescent="0.2">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row>
    <row r="236" spans="1:28" ht="15.75" customHeight="1" x14ac:dyDescent="0.2">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row>
    <row r="237" spans="1:28" ht="15.75" customHeight="1" x14ac:dyDescent="0.2">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row>
    <row r="238" spans="1:28" ht="15.75" customHeight="1" x14ac:dyDescent="0.2">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row>
    <row r="239" spans="1:28" ht="15.75" customHeight="1" x14ac:dyDescent="0.2">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row>
    <row r="240" spans="1:28" ht="15.75" customHeight="1" x14ac:dyDescent="0.2">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row>
    <row r="241" spans="1:28" ht="15.75" customHeight="1" x14ac:dyDescent="0.2">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row>
    <row r="242" spans="1:28" ht="15.75" customHeight="1" x14ac:dyDescent="0.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row>
    <row r="243" spans="1:28" ht="15.75" customHeight="1" x14ac:dyDescent="0.2">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row>
    <row r="244" spans="1:28" ht="15.75" customHeight="1" x14ac:dyDescent="0.2">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row>
    <row r="245" spans="1:28" ht="15.75" customHeight="1" x14ac:dyDescent="0.2">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row>
    <row r="246" spans="1:28" ht="15.75" customHeight="1" x14ac:dyDescent="0.2">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row>
    <row r="247" spans="1:28" ht="15.75" customHeight="1" x14ac:dyDescent="0.2">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row>
    <row r="248" spans="1:28" ht="15.75" customHeight="1" x14ac:dyDescent="0.2">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row>
    <row r="249" spans="1:28" ht="15.75" customHeight="1" x14ac:dyDescent="0.2">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row>
    <row r="250" spans="1:28" ht="15.75" customHeight="1" x14ac:dyDescent="0.2">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row>
    <row r="251" spans="1:28" ht="15.75" customHeight="1" x14ac:dyDescent="0.2">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row>
    <row r="252" spans="1:28" ht="15.75" customHeight="1" x14ac:dyDescent="0.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row>
    <row r="253" spans="1:28" ht="15.75" customHeight="1" x14ac:dyDescent="0.2">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row>
    <row r="254" spans="1:28" ht="15.75" customHeight="1" x14ac:dyDescent="0.2">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row>
    <row r="255" spans="1:28" ht="15.75" customHeight="1" x14ac:dyDescent="0.2">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row>
    <row r="256" spans="1:28" ht="15.75" customHeight="1" x14ac:dyDescent="0.2">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row>
    <row r="257" spans="1:28" ht="15.75" customHeight="1" x14ac:dyDescent="0.2">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row>
    <row r="258" spans="1:28" ht="15.75" customHeight="1" x14ac:dyDescent="0.2">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row>
    <row r="259" spans="1:28" ht="15.75" customHeight="1" x14ac:dyDescent="0.2">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row>
    <row r="260" spans="1:28" ht="15.75" customHeight="1" x14ac:dyDescent="0.2">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row>
    <row r="261" spans="1:28" ht="15.75" customHeight="1" x14ac:dyDescent="0.2">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row>
    <row r="262" spans="1:28" ht="15.75" customHeight="1" x14ac:dyDescent="0.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row>
    <row r="263" spans="1:28" ht="15.75" customHeight="1" x14ac:dyDescent="0.2">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row>
    <row r="264" spans="1:28" ht="15.75" customHeight="1" x14ac:dyDescent="0.2">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row>
    <row r="265" spans="1:28" ht="15.75" customHeight="1" x14ac:dyDescent="0.2">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row>
    <row r="266" spans="1:28" ht="15.75" customHeight="1" x14ac:dyDescent="0.2">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row>
    <row r="267" spans="1:28" ht="15.75" customHeight="1" x14ac:dyDescent="0.2">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row>
    <row r="268" spans="1:28" ht="15.75" customHeight="1" x14ac:dyDescent="0.2">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row>
    <row r="269" spans="1:28" ht="15.75" customHeight="1" x14ac:dyDescent="0.2">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row>
    <row r="270" spans="1:28" ht="15.75" customHeight="1" x14ac:dyDescent="0.2">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row>
    <row r="271" spans="1:28" ht="15.75" customHeight="1" x14ac:dyDescent="0.2">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row>
    <row r="272" spans="1:28" ht="15.75" customHeight="1" x14ac:dyDescent="0.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row>
    <row r="273" spans="1:28" ht="15.75" customHeight="1" x14ac:dyDescent="0.2">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row>
    <row r="274" spans="1:28" ht="15.75" customHeight="1" x14ac:dyDescent="0.2">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row>
    <row r="275" spans="1:28" ht="15.75" customHeight="1" x14ac:dyDescent="0.2">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row>
    <row r="276" spans="1:28" ht="15.75" customHeight="1" x14ac:dyDescent="0.2">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row>
    <row r="277" spans="1:28" ht="15.75" customHeight="1" x14ac:dyDescent="0.2">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row>
    <row r="278" spans="1:28" ht="15.75" customHeight="1" x14ac:dyDescent="0.2">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row>
    <row r="279" spans="1:28" ht="15.75" customHeight="1" x14ac:dyDescent="0.2">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row>
    <row r="280" spans="1:28" ht="15.75" customHeight="1" x14ac:dyDescent="0.2">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row>
    <row r="281" spans="1:28" ht="15.75" customHeight="1" x14ac:dyDescent="0.2">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row>
    <row r="282" spans="1:28" ht="15.75" customHeight="1" x14ac:dyDescent="0.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row>
    <row r="283" spans="1:28" ht="15.75" customHeight="1" x14ac:dyDescent="0.2">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row>
    <row r="284" spans="1:28" ht="15.75" customHeight="1" x14ac:dyDescent="0.2">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row>
    <row r="285" spans="1:28" ht="15.75" customHeight="1" x14ac:dyDescent="0.2">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row>
    <row r="286" spans="1:28" ht="15.75" customHeight="1" x14ac:dyDescent="0.2">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row>
    <row r="287" spans="1:28" ht="15.75" customHeight="1" x14ac:dyDescent="0.2">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row>
    <row r="288" spans="1:28" ht="15.75" customHeight="1" x14ac:dyDescent="0.2">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row>
    <row r="289" spans="1:28" ht="15.75" customHeight="1" x14ac:dyDescent="0.2">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row>
    <row r="290" spans="1:28" ht="15.75" customHeight="1" x14ac:dyDescent="0.2">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row>
    <row r="291" spans="1:28" ht="15.75" customHeight="1" x14ac:dyDescent="0.2">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row>
    <row r="292" spans="1:28" ht="15.75" customHeight="1" x14ac:dyDescent="0.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row>
    <row r="293" spans="1:28" ht="15.75" customHeight="1" x14ac:dyDescent="0.2">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row>
    <row r="294" spans="1:28" ht="15.75" customHeight="1" x14ac:dyDescent="0.2">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row>
    <row r="295" spans="1:28" ht="15.75" customHeight="1" x14ac:dyDescent="0.2">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row>
    <row r="296" spans="1:28" ht="15.75" customHeight="1" x14ac:dyDescent="0.2">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row>
    <row r="297" spans="1:28" ht="15.75" customHeight="1" x14ac:dyDescent="0.2">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row>
    <row r="298" spans="1:28" ht="15.75" customHeight="1" x14ac:dyDescent="0.2">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row>
    <row r="299" spans="1:28" ht="15.75" customHeight="1" x14ac:dyDescent="0.2">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row>
    <row r="300" spans="1:28" ht="15.75" customHeight="1" x14ac:dyDescent="0.2">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row>
    <row r="301" spans="1:28" ht="15.75" customHeight="1" x14ac:dyDescent="0.2">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row>
    <row r="302" spans="1:28" ht="15.75" customHeight="1" x14ac:dyDescent="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row>
    <row r="303" spans="1:28" ht="15.75" customHeight="1" x14ac:dyDescent="0.2">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row>
    <row r="304" spans="1:28" ht="15.75" customHeight="1" x14ac:dyDescent="0.2">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row>
    <row r="305" spans="1:28" ht="15.75" customHeight="1" x14ac:dyDescent="0.2">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row>
    <row r="306" spans="1:28" ht="15.75" customHeight="1" x14ac:dyDescent="0.2">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row>
    <row r="307" spans="1:28" ht="15.75" customHeight="1" x14ac:dyDescent="0.2">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row>
    <row r="308" spans="1:28" ht="15.75" customHeight="1" x14ac:dyDescent="0.2">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row>
    <row r="309" spans="1:28" ht="15.75" customHeight="1" x14ac:dyDescent="0.2">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row>
    <row r="310" spans="1:28" ht="15.75" customHeight="1" x14ac:dyDescent="0.2">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row>
    <row r="311" spans="1:28" ht="15.75" customHeight="1" x14ac:dyDescent="0.2">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row>
    <row r="312" spans="1:28" ht="15.75" customHeight="1" x14ac:dyDescent="0.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row>
    <row r="313" spans="1:28" ht="15.75" customHeight="1" x14ac:dyDescent="0.2">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row>
    <row r="314" spans="1:28" ht="15.75" customHeight="1" x14ac:dyDescent="0.2">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row>
    <row r="315" spans="1:28" ht="15.75" customHeight="1" x14ac:dyDescent="0.2">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row>
    <row r="316" spans="1:28" ht="15.75" customHeight="1" x14ac:dyDescent="0.2">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row>
    <row r="317" spans="1:28" ht="15.75" customHeight="1" x14ac:dyDescent="0.2">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row>
    <row r="318" spans="1:28" ht="15.75" customHeight="1" x14ac:dyDescent="0.2">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row>
    <row r="319" spans="1:28" ht="15.75" customHeight="1" x14ac:dyDescent="0.2">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row>
    <row r="320" spans="1:28" ht="15.75" customHeight="1" x14ac:dyDescent="0.2">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row>
    <row r="321" spans="1:28" ht="15.75" customHeight="1" x14ac:dyDescent="0.2">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row>
    <row r="322" spans="1:28" ht="15.75" customHeight="1" x14ac:dyDescent="0.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row>
    <row r="323" spans="1:28" ht="15.75" customHeight="1" x14ac:dyDescent="0.2">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row>
    <row r="324" spans="1:28" ht="15.75" customHeight="1" x14ac:dyDescent="0.2">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row>
    <row r="325" spans="1:28" ht="15.75" customHeight="1" x14ac:dyDescent="0.2">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row>
    <row r="326" spans="1:28" ht="15.75" customHeight="1" x14ac:dyDescent="0.2">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row>
    <row r="327" spans="1:28" ht="15.75" customHeight="1" x14ac:dyDescent="0.2">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row>
    <row r="328" spans="1:28" ht="15.75" customHeight="1" x14ac:dyDescent="0.2">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row>
    <row r="329" spans="1:28" ht="15.75" customHeight="1" x14ac:dyDescent="0.2">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row>
    <row r="330" spans="1:28" ht="15.75" customHeight="1" x14ac:dyDescent="0.2">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row>
    <row r="331" spans="1:28" ht="15.75" customHeight="1" x14ac:dyDescent="0.2">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row>
    <row r="332" spans="1:28" ht="15.75" customHeight="1" x14ac:dyDescent="0.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row>
    <row r="333" spans="1:28" ht="15.75" customHeight="1" x14ac:dyDescent="0.2">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row>
    <row r="334" spans="1:28" ht="15.75" customHeight="1" x14ac:dyDescent="0.2">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row>
    <row r="335" spans="1:28" ht="15.75" customHeight="1" x14ac:dyDescent="0.2">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row>
    <row r="336" spans="1:28" ht="15.75" customHeight="1" x14ac:dyDescent="0.2">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row>
    <row r="337" spans="1:28" ht="15.75" customHeight="1" x14ac:dyDescent="0.2">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row>
    <row r="338" spans="1:28" ht="15.75" customHeight="1" x14ac:dyDescent="0.2">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row>
    <row r="339" spans="1:28" ht="15.75" customHeight="1" x14ac:dyDescent="0.2">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row>
    <row r="340" spans="1:28" ht="15.75" customHeight="1" x14ac:dyDescent="0.2">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row>
    <row r="341" spans="1:28" ht="15.75" customHeight="1" x14ac:dyDescent="0.2">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row>
    <row r="342" spans="1:28" ht="15.75" customHeight="1" x14ac:dyDescent="0.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row>
    <row r="343" spans="1:28" ht="15.75" customHeight="1" x14ac:dyDescent="0.2">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row>
    <row r="344" spans="1:28" ht="15.75" customHeight="1" x14ac:dyDescent="0.2">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row>
    <row r="345" spans="1:28" ht="15.75" customHeight="1" x14ac:dyDescent="0.2">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row>
    <row r="346" spans="1:28" ht="15.75" customHeight="1" x14ac:dyDescent="0.2">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row>
    <row r="347" spans="1:28" ht="15.75" customHeight="1" x14ac:dyDescent="0.2">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row>
    <row r="348" spans="1:28" ht="15.75" customHeight="1" x14ac:dyDescent="0.2">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row>
    <row r="349" spans="1:28" ht="15.75" customHeight="1" x14ac:dyDescent="0.2">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row>
    <row r="350" spans="1:28" ht="15.75" customHeight="1" x14ac:dyDescent="0.2">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row>
    <row r="351" spans="1:28" ht="15.75" customHeight="1" x14ac:dyDescent="0.2">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row>
    <row r="352" spans="1:28" ht="15.75" customHeight="1" x14ac:dyDescent="0.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row>
    <row r="353" spans="1:28" ht="15.75" customHeight="1" x14ac:dyDescent="0.2">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row>
    <row r="354" spans="1:28" ht="15.75" customHeight="1" x14ac:dyDescent="0.2">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row>
    <row r="355" spans="1:28" ht="15.75" customHeight="1" x14ac:dyDescent="0.2">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row>
    <row r="356" spans="1:28" ht="15.75" customHeight="1" x14ac:dyDescent="0.2">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row>
    <row r="357" spans="1:28" ht="15.75" customHeight="1" x14ac:dyDescent="0.2">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row>
    <row r="358" spans="1:28" ht="15.75" customHeight="1" x14ac:dyDescent="0.2">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row>
    <row r="359" spans="1:28" ht="15.75" customHeight="1" x14ac:dyDescent="0.2">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row>
    <row r="360" spans="1:28" ht="15.75" customHeight="1" x14ac:dyDescent="0.2">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row>
    <row r="361" spans="1:28" ht="15.75" customHeight="1" x14ac:dyDescent="0.2">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row>
    <row r="362" spans="1:28" ht="15.75" customHeight="1" x14ac:dyDescent="0.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row>
    <row r="363" spans="1:28" ht="15.75" customHeight="1" x14ac:dyDescent="0.2">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row>
    <row r="364" spans="1:28" ht="15.75" customHeight="1" x14ac:dyDescent="0.2">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row>
    <row r="365" spans="1:28" ht="15.75" customHeight="1" x14ac:dyDescent="0.2">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row>
    <row r="366" spans="1:28" ht="15.75" customHeight="1" x14ac:dyDescent="0.2">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row>
    <row r="367" spans="1:28" ht="15.75" customHeight="1" x14ac:dyDescent="0.2">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row>
    <row r="368" spans="1:28" ht="15.75" customHeight="1" x14ac:dyDescent="0.2">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row>
    <row r="369" spans="1:28" ht="15.75" customHeight="1" x14ac:dyDescent="0.2">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row>
    <row r="370" spans="1:28" ht="15.75" customHeight="1" x14ac:dyDescent="0.2">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row>
    <row r="371" spans="1:28" ht="15.75" customHeight="1" x14ac:dyDescent="0.2">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row>
    <row r="372" spans="1:28" ht="15.75" customHeight="1" x14ac:dyDescent="0.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row>
    <row r="373" spans="1:28" ht="15.75" customHeight="1" x14ac:dyDescent="0.2">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row>
    <row r="374" spans="1:28" ht="15.75" customHeight="1" x14ac:dyDescent="0.2">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row>
    <row r="375" spans="1:28" ht="15.75" customHeight="1" x14ac:dyDescent="0.2">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row>
    <row r="376" spans="1:28" ht="15.75" customHeight="1" x14ac:dyDescent="0.2">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row>
    <row r="377" spans="1:28" ht="15.75" customHeight="1" x14ac:dyDescent="0.2">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row>
    <row r="378" spans="1:28" ht="15.75" customHeight="1" x14ac:dyDescent="0.2">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row>
    <row r="379" spans="1:28" ht="15.75" customHeight="1" x14ac:dyDescent="0.2">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row>
    <row r="380" spans="1:28" ht="15.75" customHeight="1" x14ac:dyDescent="0.2">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row>
    <row r="381" spans="1:28" ht="15.75" customHeight="1" x14ac:dyDescent="0.2">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row>
    <row r="382" spans="1:28" ht="15.75" customHeight="1" x14ac:dyDescent="0.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row>
    <row r="383" spans="1:28" ht="15.75" customHeight="1" x14ac:dyDescent="0.2">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row>
    <row r="384" spans="1:28" ht="15.75" customHeight="1" x14ac:dyDescent="0.2">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row>
    <row r="385" spans="1:28" ht="15.75" customHeight="1" x14ac:dyDescent="0.2">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row>
    <row r="386" spans="1:28" ht="15.75" customHeight="1" x14ac:dyDescent="0.2">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row>
    <row r="387" spans="1:28" ht="15.75" customHeight="1" x14ac:dyDescent="0.2">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row>
    <row r="388" spans="1:28" ht="15.75" customHeight="1" x14ac:dyDescent="0.2">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row>
    <row r="389" spans="1:28" ht="15.75" customHeight="1" x14ac:dyDescent="0.2">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row>
    <row r="390" spans="1:28" ht="15.75" customHeight="1" x14ac:dyDescent="0.2">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row>
    <row r="391" spans="1:28" ht="15.75" customHeight="1" x14ac:dyDescent="0.2">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row>
    <row r="392" spans="1:28" ht="15.75" customHeight="1" x14ac:dyDescent="0.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row>
    <row r="393" spans="1:28" ht="15.75" customHeight="1" x14ac:dyDescent="0.2">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row>
    <row r="394" spans="1:28" ht="15.75" customHeight="1" x14ac:dyDescent="0.2">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row>
    <row r="395" spans="1:28" ht="15.75" customHeight="1" x14ac:dyDescent="0.2">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row>
    <row r="396" spans="1:28" ht="15.75" customHeight="1" x14ac:dyDescent="0.2">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row>
    <row r="397" spans="1:28" ht="15.75" customHeight="1" x14ac:dyDescent="0.2">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row>
    <row r="398" spans="1:28" ht="15.75" customHeight="1" x14ac:dyDescent="0.2">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row>
    <row r="399" spans="1:28" ht="15.75" customHeight="1" x14ac:dyDescent="0.2">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row>
    <row r="400" spans="1:28" ht="15.75" customHeight="1" x14ac:dyDescent="0.2">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row>
    <row r="401" spans="1:28" ht="15.75" customHeight="1" x14ac:dyDescent="0.2">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row>
    <row r="402" spans="1:28" ht="15.75" customHeight="1" x14ac:dyDescent="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row>
    <row r="403" spans="1:28" ht="15.75" customHeight="1" x14ac:dyDescent="0.2">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row>
    <row r="404" spans="1:28" ht="15.75" customHeight="1" x14ac:dyDescent="0.2">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row>
    <row r="405" spans="1:28" ht="15.75" customHeight="1" x14ac:dyDescent="0.2">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row>
    <row r="406" spans="1:28" ht="15.75" customHeight="1" x14ac:dyDescent="0.2">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row>
    <row r="407" spans="1:28" ht="15.75" customHeight="1" x14ac:dyDescent="0.2">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row>
    <row r="408" spans="1:28" ht="15.75" customHeight="1" x14ac:dyDescent="0.2">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row>
    <row r="409" spans="1:28" ht="15.75" customHeight="1" x14ac:dyDescent="0.2">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row>
    <row r="410" spans="1:28" ht="15.75" customHeight="1" x14ac:dyDescent="0.2">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row>
    <row r="411" spans="1:28" ht="15.75" customHeight="1" x14ac:dyDescent="0.2">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row>
    <row r="412" spans="1:28" ht="15.75" customHeight="1" x14ac:dyDescent="0.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row>
    <row r="413" spans="1:28" ht="15.75" customHeight="1" x14ac:dyDescent="0.2">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row>
    <row r="414" spans="1:28" ht="15.75" customHeight="1" x14ac:dyDescent="0.2">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row>
    <row r="415" spans="1:28" ht="15.75" customHeight="1" x14ac:dyDescent="0.2">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row>
    <row r="416" spans="1:28" ht="15.75" customHeight="1" x14ac:dyDescent="0.2">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row>
    <row r="417" spans="1:28" ht="15.75" customHeight="1" x14ac:dyDescent="0.2">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row>
    <row r="418" spans="1:28" ht="15.75" customHeight="1" x14ac:dyDescent="0.2">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row>
    <row r="419" spans="1:28" ht="15.75" customHeight="1" x14ac:dyDescent="0.2">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row>
    <row r="420" spans="1:28" ht="15.75" customHeight="1" x14ac:dyDescent="0.2">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row>
    <row r="421" spans="1:28" ht="15.75" customHeight="1" x14ac:dyDescent="0.2">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row>
    <row r="422" spans="1:28" ht="15.75" customHeight="1" x14ac:dyDescent="0.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row>
    <row r="423" spans="1:28" ht="15.75" customHeight="1" x14ac:dyDescent="0.2">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row>
    <row r="424" spans="1:28" ht="15.75" customHeight="1" x14ac:dyDescent="0.2">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row>
    <row r="425" spans="1:28" ht="15.75" customHeight="1" x14ac:dyDescent="0.2">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row>
    <row r="426" spans="1:28" ht="15.75" customHeight="1" x14ac:dyDescent="0.2">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row>
    <row r="427" spans="1:28" ht="15.75" customHeight="1" x14ac:dyDescent="0.2">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row>
    <row r="428" spans="1:28" ht="15.75" customHeight="1" x14ac:dyDescent="0.2">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row>
    <row r="429" spans="1:28" ht="15.75" customHeight="1" x14ac:dyDescent="0.2">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row>
    <row r="430" spans="1:28" ht="15.75" customHeight="1" x14ac:dyDescent="0.2">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row>
    <row r="431" spans="1:28" ht="15.75" customHeight="1" x14ac:dyDescent="0.2">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row>
    <row r="432" spans="1:28" ht="15.75" customHeight="1" x14ac:dyDescent="0.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row>
    <row r="433" spans="1:28" ht="15.75" customHeight="1" x14ac:dyDescent="0.2">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row>
    <row r="434" spans="1:28" ht="15.75" customHeight="1" x14ac:dyDescent="0.2">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row>
    <row r="435" spans="1:28" ht="15.75" customHeight="1" x14ac:dyDescent="0.2">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row>
    <row r="436" spans="1:28" ht="15.75" customHeight="1" x14ac:dyDescent="0.2">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row>
    <row r="437" spans="1:28" ht="15.75" customHeight="1" x14ac:dyDescent="0.2">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row>
    <row r="438" spans="1:28" ht="15.75" customHeight="1" x14ac:dyDescent="0.2">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row>
    <row r="439" spans="1:28" ht="15.75" customHeight="1" x14ac:dyDescent="0.2">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row>
    <row r="440" spans="1:28" ht="15.75" customHeight="1" x14ac:dyDescent="0.2">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row>
    <row r="441" spans="1:28" ht="15.75" customHeight="1" x14ac:dyDescent="0.2">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row>
    <row r="442" spans="1:28" ht="15.75" customHeight="1" x14ac:dyDescent="0.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row>
    <row r="443" spans="1:28" ht="15.75" customHeight="1" x14ac:dyDescent="0.2">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row>
    <row r="444" spans="1:28" ht="15.75" customHeight="1" x14ac:dyDescent="0.2">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row>
    <row r="445" spans="1:28" ht="15.75" customHeight="1" x14ac:dyDescent="0.2">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row>
    <row r="446" spans="1:28" ht="15.75" customHeight="1" x14ac:dyDescent="0.2">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row>
    <row r="447" spans="1:28" ht="15.75" customHeight="1" x14ac:dyDescent="0.2">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row>
    <row r="448" spans="1:28" ht="15.75" customHeight="1" x14ac:dyDescent="0.2">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row>
    <row r="449" spans="1:28" ht="15.75" customHeight="1" x14ac:dyDescent="0.2">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row>
    <row r="450" spans="1:28" ht="15.75" customHeight="1" x14ac:dyDescent="0.2">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row>
    <row r="451" spans="1:28" ht="15.75" customHeight="1" x14ac:dyDescent="0.2">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row>
    <row r="452" spans="1:28" ht="15.75" customHeight="1" x14ac:dyDescent="0.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row>
    <row r="453" spans="1:28" ht="15.75" customHeight="1" x14ac:dyDescent="0.2">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row>
    <row r="454" spans="1:28" ht="15.75" customHeight="1" x14ac:dyDescent="0.2">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row>
    <row r="455" spans="1:28" ht="15.75" customHeight="1" x14ac:dyDescent="0.2">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row>
    <row r="456" spans="1:28" ht="15.75" customHeight="1" x14ac:dyDescent="0.2">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row>
    <row r="457" spans="1:28" ht="15.75" customHeight="1" x14ac:dyDescent="0.2">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row>
    <row r="458" spans="1:28" ht="15.75" customHeight="1" x14ac:dyDescent="0.2">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row>
    <row r="459" spans="1:28" ht="15.75" customHeight="1" x14ac:dyDescent="0.2">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row>
    <row r="460" spans="1:28" ht="15.75" customHeight="1" x14ac:dyDescent="0.2">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row>
    <row r="461" spans="1:28" ht="15.75" customHeight="1" x14ac:dyDescent="0.2">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row>
    <row r="462" spans="1:28" ht="15.75" customHeight="1" x14ac:dyDescent="0.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row>
    <row r="463" spans="1:28" ht="15.75" customHeight="1" x14ac:dyDescent="0.2">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row>
    <row r="464" spans="1:28" ht="15.75" customHeight="1" x14ac:dyDescent="0.2">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row>
    <row r="465" spans="1:28" ht="15.75" customHeight="1" x14ac:dyDescent="0.2">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row>
    <row r="466" spans="1:28" ht="15.75" customHeight="1" x14ac:dyDescent="0.2">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row>
    <row r="467" spans="1:28" ht="15.75" customHeight="1" x14ac:dyDescent="0.2">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row>
    <row r="468" spans="1:28" ht="15.75" customHeight="1" x14ac:dyDescent="0.2">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row>
    <row r="469" spans="1:28" ht="15.75" customHeight="1" x14ac:dyDescent="0.2">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row>
    <row r="470" spans="1:28" ht="15.75" customHeight="1" x14ac:dyDescent="0.2">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row>
    <row r="471" spans="1:28" ht="15.75" customHeight="1" x14ac:dyDescent="0.2">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row>
    <row r="472" spans="1:28" ht="15.75" customHeight="1" x14ac:dyDescent="0.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row>
    <row r="473" spans="1:28" ht="15.75" customHeight="1" x14ac:dyDescent="0.2">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row>
    <row r="474" spans="1:28" ht="15.75" customHeight="1" x14ac:dyDescent="0.2">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row>
    <row r="475" spans="1:28" ht="15.75" customHeight="1" x14ac:dyDescent="0.2">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row>
    <row r="476" spans="1:28" ht="15.75" customHeight="1" x14ac:dyDescent="0.2">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row>
    <row r="477" spans="1:28" ht="15.75" customHeight="1" x14ac:dyDescent="0.2">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row>
    <row r="478" spans="1:28" ht="15.75" customHeight="1" x14ac:dyDescent="0.2">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row>
    <row r="479" spans="1:28" ht="15.75" customHeight="1" x14ac:dyDescent="0.2">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row>
    <row r="480" spans="1:28" ht="15.75" customHeight="1" x14ac:dyDescent="0.2">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row>
    <row r="481" spans="1:28" ht="15.75" customHeight="1" x14ac:dyDescent="0.2">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row>
    <row r="482" spans="1:28" ht="15.75" customHeight="1" x14ac:dyDescent="0.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row>
    <row r="483" spans="1:28" ht="15.75" customHeight="1" x14ac:dyDescent="0.2">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row>
    <row r="484" spans="1:28" ht="15.75" customHeight="1" x14ac:dyDescent="0.2">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row>
    <row r="485" spans="1:28" ht="15.75" customHeight="1" x14ac:dyDescent="0.2">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row>
    <row r="486" spans="1:28" ht="15.75" customHeight="1" x14ac:dyDescent="0.2">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row>
    <row r="487" spans="1:28" ht="15.75" customHeight="1" x14ac:dyDescent="0.2">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row>
    <row r="488" spans="1:28" ht="15.75" customHeight="1" x14ac:dyDescent="0.2">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row>
    <row r="489" spans="1:28" ht="15.75" customHeight="1" x14ac:dyDescent="0.2">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row>
    <row r="490" spans="1:28" ht="15.75" customHeight="1" x14ac:dyDescent="0.2">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row>
    <row r="491" spans="1:28" ht="15.75" customHeight="1" x14ac:dyDescent="0.2">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row>
    <row r="492" spans="1:28" ht="15.75" customHeight="1" x14ac:dyDescent="0.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row>
    <row r="493" spans="1:28" ht="15.75" customHeight="1" x14ac:dyDescent="0.2">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row>
    <row r="494" spans="1:28" ht="15.75" customHeight="1" x14ac:dyDescent="0.2">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row>
    <row r="495" spans="1:28" ht="15.75" customHeight="1" x14ac:dyDescent="0.2">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row>
    <row r="496" spans="1:28" ht="15.75" customHeight="1" x14ac:dyDescent="0.2">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row>
    <row r="497" spans="1:28" ht="15.75" customHeight="1" x14ac:dyDescent="0.2">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row>
    <row r="498" spans="1:28" ht="15.75" customHeight="1" x14ac:dyDescent="0.2">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row>
    <row r="499" spans="1:28" ht="15.75" customHeight="1" x14ac:dyDescent="0.2">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row>
    <row r="500" spans="1:28" ht="15.75" customHeight="1" x14ac:dyDescent="0.2">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row>
    <row r="501" spans="1:28" ht="15.75" customHeight="1" x14ac:dyDescent="0.2">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row>
    <row r="502" spans="1:28" ht="15.75" customHeight="1" x14ac:dyDescent="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row>
    <row r="503" spans="1:28" ht="15.75" customHeight="1" x14ac:dyDescent="0.2">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row>
    <row r="504" spans="1:28" ht="15.75" customHeight="1" x14ac:dyDescent="0.2">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row>
    <row r="505" spans="1:28" ht="15.75" customHeight="1" x14ac:dyDescent="0.2">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row>
    <row r="506" spans="1:28" ht="15.75" customHeight="1" x14ac:dyDescent="0.2">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row>
    <row r="507" spans="1:28" ht="15.75" customHeight="1" x14ac:dyDescent="0.2">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row>
    <row r="508" spans="1:28" ht="15.75" customHeight="1" x14ac:dyDescent="0.2">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row>
    <row r="509" spans="1:28" ht="15.75" customHeight="1" x14ac:dyDescent="0.2">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row>
    <row r="510" spans="1:28" ht="15.75" customHeight="1" x14ac:dyDescent="0.2">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row>
    <row r="511" spans="1:28" ht="15.75" customHeight="1" x14ac:dyDescent="0.2">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row>
    <row r="512" spans="1:28" ht="15.75" customHeight="1" x14ac:dyDescent="0.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row>
    <row r="513" spans="1:28" ht="15.75" customHeight="1" x14ac:dyDescent="0.2">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row>
    <row r="514" spans="1:28" ht="15.75" customHeight="1" x14ac:dyDescent="0.2">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row>
    <row r="515" spans="1:28" ht="15.75" customHeight="1" x14ac:dyDescent="0.2">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row>
    <row r="516" spans="1:28" ht="15.75" customHeight="1" x14ac:dyDescent="0.2">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row>
    <row r="517" spans="1:28" ht="15.75" customHeight="1" x14ac:dyDescent="0.2">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row>
    <row r="518" spans="1:28" ht="15.75" customHeight="1" x14ac:dyDescent="0.2">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row>
    <row r="519" spans="1:28" ht="15.75" customHeight="1" x14ac:dyDescent="0.2">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row>
    <row r="520" spans="1:28" ht="15.75" customHeight="1" x14ac:dyDescent="0.2">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row>
    <row r="521" spans="1:28" ht="15.75" customHeight="1" x14ac:dyDescent="0.2">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row>
    <row r="522" spans="1:28" ht="15.75" customHeight="1" x14ac:dyDescent="0.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row>
    <row r="523" spans="1:28" ht="15.75" customHeight="1" x14ac:dyDescent="0.2">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row>
    <row r="524" spans="1:28" ht="15.75" customHeight="1" x14ac:dyDescent="0.2">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row>
    <row r="525" spans="1:28" ht="15.75" customHeight="1" x14ac:dyDescent="0.2">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row>
    <row r="526" spans="1:28" ht="15.75" customHeight="1" x14ac:dyDescent="0.2">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row>
    <row r="527" spans="1:28" ht="15.75" customHeight="1" x14ac:dyDescent="0.2">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row>
    <row r="528" spans="1:28" ht="15.75" customHeight="1" x14ac:dyDescent="0.2">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row>
    <row r="529" spans="1:28" ht="15.75" customHeight="1" x14ac:dyDescent="0.2">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row>
    <row r="530" spans="1:28" ht="15.75" customHeight="1" x14ac:dyDescent="0.2">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row>
    <row r="531" spans="1:28" ht="15.75" customHeight="1" x14ac:dyDescent="0.2">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row>
    <row r="532" spans="1:28" ht="15.75" customHeight="1" x14ac:dyDescent="0.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row>
    <row r="533" spans="1:28" ht="15.75" customHeight="1" x14ac:dyDescent="0.2">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row>
    <row r="534" spans="1:28" ht="15.75" customHeight="1" x14ac:dyDescent="0.2">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row>
    <row r="535" spans="1:28" ht="15.75" customHeight="1" x14ac:dyDescent="0.2">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row>
    <row r="536" spans="1:28" ht="15.75" customHeight="1" x14ac:dyDescent="0.2">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row>
    <row r="537" spans="1:28" ht="15.75" customHeight="1" x14ac:dyDescent="0.2">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row>
    <row r="538" spans="1:28" ht="15.75" customHeight="1" x14ac:dyDescent="0.2">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row>
    <row r="539" spans="1:28" ht="15.75" customHeight="1" x14ac:dyDescent="0.2">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row>
    <row r="540" spans="1:28" ht="15.75" customHeight="1" x14ac:dyDescent="0.2">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row>
    <row r="541" spans="1:28" ht="15.75" customHeight="1" x14ac:dyDescent="0.2">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row>
    <row r="542" spans="1:28" ht="15.75" customHeight="1" x14ac:dyDescent="0.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row>
    <row r="543" spans="1:28" ht="15.75" customHeight="1" x14ac:dyDescent="0.2">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row>
    <row r="544" spans="1:28" ht="15.75" customHeight="1" x14ac:dyDescent="0.2">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row>
    <row r="545" spans="1:28" ht="15.75" customHeight="1" x14ac:dyDescent="0.2">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row>
    <row r="546" spans="1:28" ht="15.75" customHeight="1" x14ac:dyDescent="0.2">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row>
    <row r="547" spans="1:28" ht="15.75" customHeight="1" x14ac:dyDescent="0.2">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row>
    <row r="548" spans="1:28" ht="15.75" customHeight="1" x14ac:dyDescent="0.2">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row>
    <row r="549" spans="1:28" ht="15.75" customHeight="1" x14ac:dyDescent="0.2">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row>
    <row r="550" spans="1:28" ht="15.75" customHeight="1" x14ac:dyDescent="0.2">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row>
    <row r="551" spans="1:28" ht="15.75" customHeight="1" x14ac:dyDescent="0.2">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row>
    <row r="552" spans="1:28" ht="15.75" customHeight="1" x14ac:dyDescent="0.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row>
    <row r="553" spans="1:28" ht="15.75" customHeight="1" x14ac:dyDescent="0.2">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row>
    <row r="554" spans="1:28" ht="15.75" customHeight="1" x14ac:dyDescent="0.2">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row>
    <row r="555" spans="1:28" ht="15.75" customHeight="1" x14ac:dyDescent="0.2">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row>
    <row r="556" spans="1:28" ht="15.75" customHeight="1" x14ac:dyDescent="0.2">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row>
    <row r="557" spans="1:28" ht="15.75" customHeight="1" x14ac:dyDescent="0.2">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row>
    <row r="558" spans="1:28" ht="15.75" customHeight="1" x14ac:dyDescent="0.2">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row>
    <row r="559" spans="1:28" ht="15.75" customHeight="1" x14ac:dyDescent="0.2">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row>
    <row r="560" spans="1:28" ht="15.75" customHeight="1" x14ac:dyDescent="0.2">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row>
    <row r="561" spans="1:28" ht="15.75" customHeight="1" x14ac:dyDescent="0.2">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row>
    <row r="562" spans="1:28" ht="15.75" customHeight="1" x14ac:dyDescent="0.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row>
    <row r="563" spans="1:28" ht="15.75" customHeight="1" x14ac:dyDescent="0.2">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row>
    <row r="564" spans="1:28" ht="15.75" customHeight="1" x14ac:dyDescent="0.2">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row>
    <row r="565" spans="1:28" ht="15.75" customHeight="1" x14ac:dyDescent="0.2">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row>
    <row r="566" spans="1:28" ht="15.75" customHeight="1" x14ac:dyDescent="0.2">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row>
    <row r="567" spans="1:28" ht="15.75" customHeight="1" x14ac:dyDescent="0.2">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row>
    <row r="568" spans="1:28" ht="15.75" customHeight="1" x14ac:dyDescent="0.2">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row>
    <row r="569" spans="1:28" ht="15.75" customHeight="1" x14ac:dyDescent="0.2">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row>
    <row r="570" spans="1:28" ht="15.75" customHeight="1" x14ac:dyDescent="0.2">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row>
    <row r="571" spans="1:28" ht="15.75" customHeight="1" x14ac:dyDescent="0.2">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row>
    <row r="572" spans="1:28" ht="15.75" customHeight="1" x14ac:dyDescent="0.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row>
    <row r="573" spans="1:28" ht="15.75" customHeight="1" x14ac:dyDescent="0.2">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row>
    <row r="574" spans="1:28" ht="15.75" customHeight="1" x14ac:dyDescent="0.2">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row>
    <row r="575" spans="1:28" ht="15.75" customHeight="1" x14ac:dyDescent="0.2">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row>
    <row r="576" spans="1:28" ht="15.75" customHeight="1" x14ac:dyDescent="0.2">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row>
    <row r="577" spans="1:28" ht="15.75" customHeight="1" x14ac:dyDescent="0.2">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row>
    <row r="578" spans="1:28" ht="15.75" customHeight="1" x14ac:dyDescent="0.2">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row>
    <row r="579" spans="1:28" ht="15.75" customHeight="1" x14ac:dyDescent="0.2">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row>
    <row r="580" spans="1:28" ht="15.75" customHeight="1" x14ac:dyDescent="0.2">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row>
    <row r="581" spans="1:28" ht="15.75" customHeight="1" x14ac:dyDescent="0.2">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row>
    <row r="582" spans="1:28" ht="15.75" customHeight="1" x14ac:dyDescent="0.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row>
    <row r="583" spans="1:28" ht="15.75" customHeight="1" x14ac:dyDescent="0.2">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row>
    <row r="584" spans="1:28" ht="15.75" customHeight="1" x14ac:dyDescent="0.2">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row>
    <row r="585" spans="1:28" ht="15.75" customHeight="1" x14ac:dyDescent="0.2">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row>
    <row r="586" spans="1:28" ht="15.75" customHeight="1" x14ac:dyDescent="0.2">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row>
    <row r="587" spans="1:28" ht="15.75" customHeight="1" x14ac:dyDescent="0.2">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row>
    <row r="588" spans="1:28" ht="15.75" customHeight="1" x14ac:dyDescent="0.2">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row>
    <row r="589" spans="1:28" ht="15.75" customHeight="1" x14ac:dyDescent="0.2">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row>
    <row r="590" spans="1:28" ht="15.75" customHeight="1" x14ac:dyDescent="0.2">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row>
    <row r="591" spans="1:28" ht="15.75" customHeight="1" x14ac:dyDescent="0.2">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row>
    <row r="592" spans="1:28" ht="15.75" customHeight="1" x14ac:dyDescent="0.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row>
    <row r="593" spans="1:28" ht="15.75" customHeight="1" x14ac:dyDescent="0.2">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row>
    <row r="594" spans="1:28" ht="15.75" customHeight="1" x14ac:dyDescent="0.2">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row>
    <row r="595" spans="1:28" ht="15.75" customHeight="1" x14ac:dyDescent="0.2">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row>
    <row r="596" spans="1:28" ht="15.75" customHeight="1" x14ac:dyDescent="0.2">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row>
    <row r="597" spans="1:28" ht="15.75" customHeight="1" x14ac:dyDescent="0.2">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row>
    <row r="598" spans="1:28" ht="15.75" customHeight="1" x14ac:dyDescent="0.2">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row>
    <row r="599" spans="1:28" ht="15.75" customHeight="1" x14ac:dyDescent="0.2">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row>
    <row r="600" spans="1:28" ht="15.75" customHeight="1" x14ac:dyDescent="0.2">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row>
    <row r="601" spans="1:28" ht="15.75" customHeight="1" x14ac:dyDescent="0.2">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row>
    <row r="602" spans="1:28" ht="15.75" customHeight="1" x14ac:dyDescent="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row>
    <row r="603" spans="1:28" ht="15.75" customHeight="1" x14ac:dyDescent="0.2">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row>
    <row r="604" spans="1:28" ht="15.75" customHeight="1" x14ac:dyDescent="0.2">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row>
    <row r="605" spans="1:28" ht="15.75" customHeight="1" x14ac:dyDescent="0.2">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row>
    <row r="606" spans="1:28" ht="15.75" customHeight="1" x14ac:dyDescent="0.2">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row>
    <row r="607" spans="1:28" ht="15.75" customHeight="1" x14ac:dyDescent="0.2">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row>
    <row r="608" spans="1:28" ht="15.75" customHeight="1" x14ac:dyDescent="0.2">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row>
    <row r="609" spans="1:28" ht="15.75" customHeight="1" x14ac:dyDescent="0.2">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row>
    <row r="610" spans="1:28" ht="15.75" customHeight="1" x14ac:dyDescent="0.2">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row>
    <row r="611" spans="1:28" ht="15.75" customHeight="1" x14ac:dyDescent="0.2">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row>
    <row r="612" spans="1:28" ht="15.75" customHeight="1" x14ac:dyDescent="0.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row>
    <row r="613" spans="1:28" ht="15.75" customHeight="1" x14ac:dyDescent="0.2">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row>
    <row r="614" spans="1:28" ht="15.75" customHeight="1" x14ac:dyDescent="0.2">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row>
    <row r="615" spans="1:28" ht="15.75" customHeight="1" x14ac:dyDescent="0.2">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row>
    <row r="616" spans="1:28" ht="15.75" customHeight="1" x14ac:dyDescent="0.2">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row>
    <row r="617" spans="1:28" ht="15.75" customHeight="1" x14ac:dyDescent="0.2">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row>
    <row r="618" spans="1:28" ht="15.75" customHeight="1" x14ac:dyDescent="0.2">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row>
    <row r="619" spans="1:28" ht="15.75" customHeight="1" x14ac:dyDescent="0.2">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row>
    <row r="620" spans="1:28" ht="15.75" customHeight="1" x14ac:dyDescent="0.2">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row>
    <row r="621" spans="1:28" ht="15.75" customHeight="1" x14ac:dyDescent="0.2">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row>
    <row r="622" spans="1:28" ht="15.75" customHeight="1" x14ac:dyDescent="0.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row>
    <row r="623" spans="1:28" ht="15.75" customHeight="1" x14ac:dyDescent="0.2">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row>
    <row r="624" spans="1:28" ht="15.75" customHeight="1" x14ac:dyDescent="0.2">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row>
    <row r="625" spans="1:28" ht="15.75" customHeight="1" x14ac:dyDescent="0.2">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row>
    <row r="626" spans="1:28" ht="15.75" customHeight="1" x14ac:dyDescent="0.2">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row>
    <row r="627" spans="1:28" ht="15.75" customHeight="1" x14ac:dyDescent="0.2">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row>
    <row r="628" spans="1:28" ht="15.75" customHeight="1" x14ac:dyDescent="0.2">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row>
    <row r="629" spans="1:28" ht="15.75" customHeight="1" x14ac:dyDescent="0.2">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row>
    <row r="630" spans="1:28" ht="15.75" customHeight="1" x14ac:dyDescent="0.2">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row>
    <row r="631" spans="1:28" ht="15.75" customHeight="1" x14ac:dyDescent="0.2">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row>
    <row r="632" spans="1:28" ht="15.75" customHeight="1" x14ac:dyDescent="0.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row>
    <row r="633" spans="1:28" ht="15.75" customHeight="1" x14ac:dyDescent="0.2">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row>
    <row r="634" spans="1:28" ht="15.75" customHeight="1" x14ac:dyDescent="0.2">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row>
    <row r="635" spans="1:28" ht="15.75" customHeight="1" x14ac:dyDescent="0.2">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row>
    <row r="636" spans="1:28" ht="15.75" customHeight="1" x14ac:dyDescent="0.2">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row>
    <row r="637" spans="1:28" ht="15.75" customHeight="1" x14ac:dyDescent="0.2">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row>
    <row r="638" spans="1:28" ht="15.75" customHeight="1" x14ac:dyDescent="0.2">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row>
    <row r="639" spans="1:28" ht="15.75" customHeight="1" x14ac:dyDescent="0.2">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row>
    <row r="640" spans="1:28" ht="15.75" customHeight="1" x14ac:dyDescent="0.2">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row>
    <row r="641" spans="1:28" ht="15.75" customHeight="1" x14ac:dyDescent="0.2">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row>
    <row r="642" spans="1:28" ht="15.75" customHeight="1" x14ac:dyDescent="0.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row>
    <row r="643" spans="1:28" ht="15.75" customHeight="1" x14ac:dyDescent="0.2">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row>
    <row r="644" spans="1:28" ht="15.75" customHeight="1" x14ac:dyDescent="0.2">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row>
    <row r="645" spans="1:28" ht="15.75" customHeight="1" x14ac:dyDescent="0.2">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row>
    <row r="646" spans="1:28" ht="15.75" customHeight="1" x14ac:dyDescent="0.2">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row>
    <row r="647" spans="1:28" ht="15.75" customHeight="1" x14ac:dyDescent="0.2">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row>
    <row r="648" spans="1:28" ht="15.75" customHeight="1" x14ac:dyDescent="0.2">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row>
    <row r="649" spans="1:28" ht="15.75" customHeight="1" x14ac:dyDescent="0.2">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row>
    <row r="650" spans="1:28" ht="15.75" customHeight="1" x14ac:dyDescent="0.2">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row>
    <row r="651" spans="1:28" ht="15.75" customHeight="1" x14ac:dyDescent="0.2">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row>
    <row r="652" spans="1:28" ht="15.75" customHeight="1" x14ac:dyDescent="0.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row>
    <row r="653" spans="1:28" ht="15.75" customHeight="1" x14ac:dyDescent="0.2">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row>
    <row r="654" spans="1:28" ht="15.75" customHeight="1" x14ac:dyDescent="0.2">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row>
    <row r="655" spans="1:28" ht="15.75" customHeight="1" x14ac:dyDescent="0.2">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row>
    <row r="656" spans="1:28" ht="15.75" customHeight="1" x14ac:dyDescent="0.2">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row>
    <row r="657" spans="1:28" ht="15.75" customHeight="1" x14ac:dyDescent="0.2">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row>
    <row r="658" spans="1:28" ht="15.75" customHeight="1" x14ac:dyDescent="0.2">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row>
    <row r="659" spans="1:28" ht="15.75" customHeight="1" x14ac:dyDescent="0.2">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row>
    <row r="660" spans="1:28" ht="15.75" customHeight="1" x14ac:dyDescent="0.2">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row>
    <row r="661" spans="1:28" ht="15.75" customHeight="1" x14ac:dyDescent="0.2">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row>
    <row r="662" spans="1:28" ht="15.75" customHeight="1" x14ac:dyDescent="0.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row>
    <row r="663" spans="1:28" ht="15.75" customHeight="1" x14ac:dyDescent="0.2">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row>
    <row r="664" spans="1:28" ht="15.75" customHeight="1" x14ac:dyDescent="0.2">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row>
    <row r="665" spans="1:28" ht="15.75" customHeight="1" x14ac:dyDescent="0.2">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row>
    <row r="666" spans="1:28" ht="15.75" customHeight="1" x14ac:dyDescent="0.2">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row>
    <row r="667" spans="1:28" ht="15.75" customHeight="1" x14ac:dyDescent="0.2">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row>
    <row r="668" spans="1:28" ht="15.75" customHeight="1" x14ac:dyDescent="0.2">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row>
    <row r="669" spans="1:28" ht="15.75" customHeight="1" x14ac:dyDescent="0.2">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row>
    <row r="670" spans="1:28" ht="15.75" customHeight="1" x14ac:dyDescent="0.2">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row>
    <row r="671" spans="1:28" ht="15.75" customHeight="1" x14ac:dyDescent="0.2">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row>
    <row r="672" spans="1:28" ht="15.75" customHeight="1" x14ac:dyDescent="0.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row>
    <row r="673" spans="1:28" ht="15.75" customHeight="1" x14ac:dyDescent="0.2">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row>
    <row r="674" spans="1:28" ht="15.75" customHeight="1" x14ac:dyDescent="0.2">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row>
    <row r="675" spans="1:28" ht="15.75" customHeight="1" x14ac:dyDescent="0.2">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row>
    <row r="676" spans="1:28" ht="15.75" customHeight="1" x14ac:dyDescent="0.2">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row>
    <row r="677" spans="1:28" ht="15.75" customHeight="1" x14ac:dyDescent="0.2">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row>
    <row r="678" spans="1:28" ht="15.75" customHeight="1" x14ac:dyDescent="0.2">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row>
    <row r="679" spans="1:28" ht="15.75" customHeight="1" x14ac:dyDescent="0.2">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row>
    <row r="680" spans="1:28" ht="15.75" customHeight="1" x14ac:dyDescent="0.2">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row>
    <row r="681" spans="1:28" ht="15.75" customHeight="1" x14ac:dyDescent="0.2">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row>
    <row r="682" spans="1:28" ht="15.75" customHeight="1" x14ac:dyDescent="0.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row>
    <row r="683" spans="1:28" ht="15.75" customHeight="1" x14ac:dyDescent="0.2">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row>
    <row r="684" spans="1:28" ht="15.75" customHeight="1" x14ac:dyDescent="0.2">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row>
    <row r="685" spans="1:28" ht="15.75" customHeight="1" x14ac:dyDescent="0.2">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row>
    <row r="686" spans="1:28" ht="15.75" customHeight="1" x14ac:dyDescent="0.2">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row>
    <row r="687" spans="1:28" ht="15.75" customHeight="1" x14ac:dyDescent="0.2">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row>
    <row r="688" spans="1:28" ht="15.75" customHeight="1" x14ac:dyDescent="0.2">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row>
    <row r="689" spans="1:28" ht="15.75" customHeight="1" x14ac:dyDescent="0.2">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row>
    <row r="690" spans="1:28" ht="15.75" customHeight="1" x14ac:dyDescent="0.2">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row>
    <row r="691" spans="1:28" ht="15.75" customHeight="1" x14ac:dyDescent="0.2">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row>
    <row r="692" spans="1:28" ht="15.75" customHeight="1" x14ac:dyDescent="0.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row>
    <row r="693" spans="1:28" ht="15.75" customHeight="1" x14ac:dyDescent="0.2">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row>
    <row r="694" spans="1:28" ht="15.75" customHeight="1" x14ac:dyDescent="0.2">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row>
    <row r="695" spans="1:28" ht="15.75" customHeight="1" x14ac:dyDescent="0.2">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row>
    <row r="696" spans="1:28" ht="15.75" customHeight="1" x14ac:dyDescent="0.2">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row>
    <row r="697" spans="1:28" ht="15.75" customHeight="1" x14ac:dyDescent="0.2">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row>
    <row r="698" spans="1:28" ht="15.75" customHeight="1" x14ac:dyDescent="0.2">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row>
    <row r="699" spans="1:28" ht="15.75" customHeight="1" x14ac:dyDescent="0.2">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row>
    <row r="700" spans="1:28" ht="15.75" customHeight="1" x14ac:dyDescent="0.2">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row>
    <row r="701" spans="1:28" ht="15.75" customHeight="1" x14ac:dyDescent="0.2">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row>
    <row r="702" spans="1:28" ht="15.75" customHeight="1" x14ac:dyDescent="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row>
    <row r="703" spans="1:28" ht="15.75" customHeight="1" x14ac:dyDescent="0.2">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row>
    <row r="704" spans="1:28" ht="15.75" customHeight="1" x14ac:dyDescent="0.2">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row>
    <row r="705" spans="1:28" ht="15.75" customHeight="1" x14ac:dyDescent="0.2">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row>
    <row r="706" spans="1:28" ht="15.75" customHeight="1" x14ac:dyDescent="0.2">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row>
    <row r="707" spans="1:28" ht="15.75" customHeight="1" x14ac:dyDescent="0.2">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row>
    <row r="708" spans="1:28" ht="15.75" customHeight="1" x14ac:dyDescent="0.2">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row>
    <row r="709" spans="1:28" ht="15.75" customHeight="1" x14ac:dyDescent="0.2">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row>
    <row r="710" spans="1:28" ht="15.75" customHeight="1" x14ac:dyDescent="0.2">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row>
    <row r="711" spans="1:28" ht="15.75" customHeight="1" x14ac:dyDescent="0.2">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row>
    <row r="712" spans="1:28" ht="15.75" customHeight="1" x14ac:dyDescent="0.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row>
    <row r="713" spans="1:28" ht="15.75" customHeight="1" x14ac:dyDescent="0.2">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row>
    <row r="714" spans="1:28" ht="15.75" customHeight="1" x14ac:dyDescent="0.2">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row>
    <row r="715" spans="1:28" ht="15.75" customHeight="1" x14ac:dyDescent="0.2">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row>
    <row r="716" spans="1:28" ht="15.75" customHeight="1" x14ac:dyDescent="0.2">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row>
    <row r="717" spans="1:28" ht="15.75" customHeight="1" x14ac:dyDescent="0.2">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row>
    <row r="718" spans="1:28" ht="15.75" customHeight="1" x14ac:dyDescent="0.2">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row>
    <row r="719" spans="1:28" ht="15.75" customHeight="1" x14ac:dyDescent="0.2">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row>
    <row r="720" spans="1:28" ht="15.75" customHeight="1" x14ac:dyDescent="0.2">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row>
    <row r="721" spans="1:28" ht="15.75" customHeight="1" x14ac:dyDescent="0.2">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row>
    <row r="722" spans="1:28" ht="15.75" customHeight="1" x14ac:dyDescent="0.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row>
    <row r="723" spans="1:28" ht="15.75" customHeight="1" x14ac:dyDescent="0.2">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row>
    <row r="724" spans="1:28" ht="15.75" customHeight="1" x14ac:dyDescent="0.2">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row>
    <row r="725" spans="1:28" ht="15.75" customHeight="1" x14ac:dyDescent="0.2">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row>
    <row r="726" spans="1:28" ht="15.75" customHeight="1" x14ac:dyDescent="0.2">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row>
    <row r="727" spans="1:28" ht="15.75" customHeight="1" x14ac:dyDescent="0.2">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row>
    <row r="728" spans="1:28" ht="15.75" customHeight="1" x14ac:dyDescent="0.2">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row>
    <row r="729" spans="1:28" ht="15.75" customHeight="1" x14ac:dyDescent="0.2">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row>
    <row r="730" spans="1:28" ht="15.75" customHeight="1" x14ac:dyDescent="0.2">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row>
    <row r="731" spans="1:28" ht="15.75" customHeight="1" x14ac:dyDescent="0.2">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row>
    <row r="732" spans="1:28" ht="15.75" customHeight="1" x14ac:dyDescent="0.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row>
    <row r="733" spans="1:28" ht="15.75" customHeight="1" x14ac:dyDescent="0.2">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row>
    <row r="734" spans="1:28" ht="15.75" customHeight="1" x14ac:dyDescent="0.2">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row>
    <row r="735" spans="1:28" ht="15.75" customHeight="1" x14ac:dyDescent="0.2">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row>
    <row r="736" spans="1:28" ht="15.75" customHeight="1" x14ac:dyDescent="0.2">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row>
    <row r="737" spans="1:28" ht="15.75" customHeight="1" x14ac:dyDescent="0.2">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row>
    <row r="738" spans="1:28" ht="15.75" customHeight="1" x14ac:dyDescent="0.2">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row>
    <row r="739" spans="1:28" ht="15.75" customHeight="1" x14ac:dyDescent="0.2">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row>
    <row r="740" spans="1:28" ht="15.75" customHeight="1" x14ac:dyDescent="0.2">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row>
    <row r="741" spans="1:28" ht="15.75" customHeight="1" x14ac:dyDescent="0.2">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row>
    <row r="742" spans="1:28" ht="15.75" customHeight="1" x14ac:dyDescent="0.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row>
    <row r="743" spans="1:28" ht="15.75" customHeight="1" x14ac:dyDescent="0.2">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row>
    <row r="744" spans="1:28" ht="15.75" customHeight="1" x14ac:dyDescent="0.2">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row>
    <row r="745" spans="1:28" ht="15.75" customHeight="1" x14ac:dyDescent="0.2">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row>
    <row r="746" spans="1:28" ht="15.75" customHeight="1" x14ac:dyDescent="0.2">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row>
    <row r="747" spans="1:28" ht="15.75" customHeight="1" x14ac:dyDescent="0.2">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row>
    <row r="748" spans="1:28" ht="15.75" customHeight="1" x14ac:dyDescent="0.2">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row>
    <row r="749" spans="1:28" ht="15.75" customHeight="1" x14ac:dyDescent="0.2">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row>
    <row r="750" spans="1:28" ht="15.75" customHeight="1" x14ac:dyDescent="0.2">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row>
    <row r="751" spans="1:28" ht="15.75" customHeight="1" x14ac:dyDescent="0.2">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row>
    <row r="752" spans="1:28" ht="15.75" customHeight="1" x14ac:dyDescent="0.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row>
    <row r="753" spans="1:28" ht="15.75" customHeight="1" x14ac:dyDescent="0.2">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row>
    <row r="754" spans="1:28" ht="15.75" customHeight="1" x14ac:dyDescent="0.2">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row>
    <row r="755" spans="1:28" ht="15.75" customHeight="1" x14ac:dyDescent="0.2">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row>
    <row r="756" spans="1:28" ht="15.75" customHeight="1" x14ac:dyDescent="0.2">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row>
    <row r="757" spans="1:28" ht="15.75" customHeight="1" x14ac:dyDescent="0.2">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row>
    <row r="758" spans="1:28" ht="15.75" customHeight="1" x14ac:dyDescent="0.2">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row>
    <row r="759" spans="1:28" ht="15.75" customHeight="1" x14ac:dyDescent="0.2">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row>
    <row r="760" spans="1:28" ht="15.75" customHeight="1" x14ac:dyDescent="0.2">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row>
    <row r="761" spans="1:28" ht="15.75" customHeight="1" x14ac:dyDescent="0.2">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row>
    <row r="762" spans="1:28" ht="15.75" customHeight="1" x14ac:dyDescent="0.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row>
    <row r="763" spans="1:28" ht="15.75" customHeight="1" x14ac:dyDescent="0.2">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row>
    <row r="764" spans="1:28" ht="15.75" customHeight="1" x14ac:dyDescent="0.2">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row>
    <row r="765" spans="1:28" ht="15.75" customHeight="1" x14ac:dyDescent="0.2">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row>
    <row r="766" spans="1:28" ht="15.75" customHeight="1" x14ac:dyDescent="0.2">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row>
    <row r="767" spans="1:28" ht="15.75" customHeight="1" x14ac:dyDescent="0.2">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row>
    <row r="768" spans="1:28" ht="15.75" customHeight="1" x14ac:dyDescent="0.2">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row>
    <row r="769" spans="1:28" ht="15.75" customHeight="1" x14ac:dyDescent="0.2">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row>
    <row r="770" spans="1:28" ht="15.75" customHeight="1" x14ac:dyDescent="0.2">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row>
    <row r="771" spans="1:28" ht="15.75" customHeight="1" x14ac:dyDescent="0.2">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row>
    <row r="772" spans="1:28" ht="15.75" customHeight="1" x14ac:dyDescent="0.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row>
    <row r="773" spans="1:28" ht="15.75" customHeight="1" x14ac:dyDescent="0.2">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row>
    <row r="774" spans="1:28" ht="15.75" customHeight="1" x14ac:dyDescent="0.2">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row>
    <row r="775" spans="1:28" ht="15.75" customHeight="1" x14ac:dyDescent="0.2">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row>
    <row r="776" spans="1:28" ht="15.75" customHeight="1" x14ac:dyDescent="0.2">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row>
    <row r="777" spans="1:28" ht="15.75" customHeight="1" x14ac:dyDescent="0.2">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row>
    <row r="778" spans="1:28" ht="15.75" customHeight="1" x14ac:dyDescent="0.2">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row>
    <row r="779" spans="1:28" ht="15.75" customHeight="1" x14ac:dyDescent="0.2">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row>
    <row r="780" spans="1:28" ht="15.75" customHeight="1" x14ac:dyDescent="0.2">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row>
    <row r="781" spans="1:28" ht="15.75" customHeight="1" x14ac:dyDescent="0.2">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row>
    <row r="782" spans="1:28" ht="15.75" customHeight="1" x14ac:dyDescent="0.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row>
    <row r="783" spans="1:28" ht="15.75" customHeight="1" x14ac:dyDescent="0.2">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row>
    <row r="784" spans="1:28" ht="15.75" customHeight="1" x14ac:dyDescent="0.2">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row>
    <row r="785" spans="1:28" ht="15.75" customHeight="1" x14ac:dyDescent="0.2">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row>
    <row r="786" spans="1:28" ht="15.75" customHeight="1" x14ac:dyDescent="0.2">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row>
    <row r="787" spans="1:28" ht="15.75" customHeight="1" x14ac:dyDescent="0.2">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row>
    <row r="788" spans="1:28" ht="15.75" customHeight="1" x14ac:dyDescent="0.2">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row>
    <row r="789" spans="1:28" ht="15.75" customHeight="1" x14ac:dyDescent="0.2">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row>
    <row r="790" spans="1:28" ht="15.75" customHeight="1" x14ac:dyDescent="0.2">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row>
    <row r="791" spans="1:28" ht="15.75" customHeight="1" x14ac:dyDescent="0.2">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row>
    <row r="792" spans="1:28" ht="15.75" customHeight="1" x14ac:dyDescent="0.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row>
    <row r="793" spans="1:28" ht="15.75" customHeight="1" x14ac:dyDescent="0.2">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row>
    <row r="794" spans="1:28" ht="15.75" customHeight="1" x14ac:dyDescent="0.2">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row>
    <row r="795" spans="1:28" ht="15.75" customHeight="1" x14ac:dyDescent="0.2">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row>
    <row r="796" spans="1:28" ht="15.75" customHeight="1" x14ac:dyDescent="0.2">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row>
    <row r="797" spans="1:28" ht="15.75" customHeight="1" x14ac:dyDescent="0.2">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row>
    <row r="798" spans="1:28" ht="15.75" customHeight="1" x14ac:dyDescent="0.2">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row>
    <row r="799" spans="1:28" ht="15.75" customHeight="1" x14ac:dyDescent="0.2">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row>
    <row r="800" spans="1:28" ht="15.75" customHeight="1" x14ac:dyDescent="0.2">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row>
    <row r="801" spans="1:28" ht="15.75" customHeight="1" x14ac:dyDescent="0.2">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row>
    <row r="802" spans="1:28" ht="15.75" customHeight="1" x14ac:dyDescent="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row>
    <row r="803" spans="1:28" ht="15.75" customHeight="1" x14ac:dyDescent="0.2">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row>
    <row r="804" spans="1:28" ht="15.75" customHeight="1" x14ac:dyDescent="0.2">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row>
    <row r="805" spans="1:28" ht="15.75" customHeight="1" x14ac:dyDescent="0.2">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row>
    <row r="806" spans="1:28" ht="15.75" customHeight="1" x14ac:dyDescent="0.2">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row>
    <row r="807" spans="1:28" ht="15.75" customHeight="1" x14ac:dyDescent="0.2">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row>
    <row r="808" spans="1:28" ht="15.75" customHeight="1" x14ac:dyDescent="0.2">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row>
    <row r="809" spans="1:28" ht="15.75" customHeight="1" x14ac:dyDescent="0.2">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row>
    <row r="810" spans="1:28" ht="15.75" customHeight="1" x14ac:dyDescent="0.2">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row>
    <row r="811" spans="1:28" ht="15.75" customHeight="1" x14ac:dyDescent="0.2">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row>
    <row r="812" spans="1:28" ht="15.75" customHeight="1" x14ac:dyDescent="0.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row>
    <row r="813" spans="1:28" ht="15.75" customHeight="1" x14ac:dyDescent="0.2">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row>
    <row r="814" spans="1:28" ht="15.75" customHeight="1" x14ac:dyDescent="0.2">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row>
    <row r="815" spans="1:28" ht="15.75" customHeight="1" x14ac:dyDescent="0.2">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row>
    <row r="816" spans="1:28" ht="15.75" customHeight="1" x14ac:dyDescent="0.2">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row>
    <row r="817" spans="1:28" ht="15.75" customHeight="1" x14ac:dyDescent="0.2">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row>
    <row r="818" spans="1:28" ht="15.75" customHeight="1" x14ac:dyDescent="0.2">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row>
    <row r="819" spans="1:28" ht="15.75" customHeight="1" x14ac:dyDescent="0.2">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row>
    <row r="820" spans="1:28" ht="15.75" customHeight="1" x14ac:dyDescent="0.2">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row>
    <row r="821" spans="1:28" ht="15.75" customHeight="1" x14ac:dyDescent="0.2">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row>
    <row r="822" spans="1:28" ht="15.75" customHeight="1" x14ac:dyDescent="0.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row>
    <row r="823" spans="1:28" ht="15.75" customHeight="1" x14ac:dyDescent="0.2">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row>
    <row r="824" spans="1:28" ht="15.75" customHeight="1" x14ac:dyDescent="0.2">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row>
    <row r="825" spans="1:28" ht="15.75" customHeight="1" x14ac:dyDescent="0.2">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row>
    <row r="826" spans="1:28" ht="15.75" customHeight="1" x14ac:dyDescent="0.2">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row>
    <row r="827" spans="1:28" ht="15.75" customHeight="1" x14ac:dyDescent="0.2">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row>
    <row r="828" spans="1:28" ht="15.75" customHeight="1" x14ac:dyDescent="0.2">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row>
    <row r="829" spans="1:28" ht="15.75" customHeight="1" x14ac:dyDescent="0.2">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row>
    <row r="830" spans="1:28" ht="15.75" customHeight="1" x14ac:dyDescent="0.2">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row>
    <row r="831" spans="1:28" ht="15.75" customHeight="1" x14ac:dyDescent="0.2">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row>
    <row r="832" spans="1:28" ht="15.75" customHeight="1" x14ac:dyDescent="0.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row>
    <row r="833" spans="1:28" ht="15.75" customHeight="1" x14ac:dyDescent="0.2">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row>
    <row r="834" spans="1:28" ht="15.75" customHeight="1" x14ac:dyDescent="0.2">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row>
    <row r="835" spans="1:28" ht="15.75" customHeight="1" x14ac:dyDescent="0.2">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row>
    <row r="836" spans="1:28" ht="15.75" customHeight="1" x14ac:dyDescent="0.2">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row>
    <row r="837" spans="1:28" ht="15.75" customHeight="1" x14ac:dyDescent="0.2">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row>
    <row r="838" spans="1:28" ht="15.75" customHeight="1" x14ac:dyDescent="0.2">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row>
    <row r="839" spans="1:28" ht="15.75" customHeight="1" x14ac:dyDescent="0.2">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row>
    <row r="840" spans="1:28" ht="15.75" customHeight="1" x14ac:dyDescent="0.2">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row>
    <row r="841" spans="1:28" ht="15.75" customHeight="1" x14ac:dyDescent="0.2">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row>
    <row r="842" spans="1:28" ht="15.75" customHeight="1" x14ac:dyDescent="0.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row>
    <row r="843" spans="1:28" ht="15.75" customHeight="1" x14ac:dyDescent="0.2">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row>
    <row r="844" spans="1:28" ht="15.75" customHeight="1" x14ac:dyDescent="0.2">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row>
    <row r="845" spans="1:28" ht="15.75" customHeight="1" x14ac:dyDescent="0.2">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row>
    <row r="846" spans="1:28" ht="15.75" customHeight="1" x14ac:dyDescent="0.2">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row>
    <row r="847" spans="1:28" ht="15.75" customHeight="1" x14ac:dyDescent="0.2">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row>
    <row r="848" spans="1:28" ht="15.75" customHeight="1" x14ac:dyDescent="0.2">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row>
    <row r="849" spans="1:28" ht="15.75" customHeight="1" x14ac:dyDescent="0.2">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row>
    <row r="850" spans="1:28" ht="15.75" customHeight="1" x14ac:dyDescent="0.2">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row>
    <row r="851" spans="1:28" ht="15.75" customHeight="1" x14ac:dyDescent="0.2">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row>
    <row r="852" spans="1:28" ht="15.75" customHeight="1" x14ac:dyDescent="0.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row>
    <row r="853" spans="1:28" ht="15.75" customHeight="1" x14ac:dyDescent="0.2">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row>
    <row r="854" spans="1:28" ht="15.75" customHeight="1" x14ac:dyDescent="0.2">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row>
    <row r="855" spans="1:28" ht="15.75" customHeight="1" x14ac:dyDescent="0.2">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row>
    <row r="856" spans="1:28" ht="15.75" customHeight="1" x14ac:dyDescent="0.2">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row>
    <row r="857" spans="1:28" ht="15.75" customHeight="1" x14ac:dyDescent="0.2">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row>
    <row r="858" spans="1:28" ht="15.75" customHeight="1" x14ac:dyDescent="0.2">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row>
    <row r="859" spans="1:28" ht="15.75" customHeight="1" x14ac:dyDescent="0.2">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row>
    <row r="860" spans="1:28" ht="15.75" customHeight="1" x14ac:dyDescent="0.2">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row>
    <row r="861" spans="1:28" ht="15.75" customHeight="1" x14ac:dyDescent="0.2">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row>
    <row r="862" spans="1:28" ht="15.75" customHeight="1" x14ac:dyDescent="0.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row>
    <row r="863" spans="1:28" ht="15.75" customHeight="1" x14ac:dyDescent="0.2">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row>
    <row r="864" spans="1:28" ht="15.75" customHeight="1" x14ac:dyDescent="0.2">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row>
    <row r="865" spans="1:28" ht="15.75" customHeight="1" x14ac:dyDescent="0.2">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row>
    <row r="866" spans="1:28" ht="15.75" customHeight="1" x14ac:dyDescent="0.2">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row>
    <row r="867" spans="1:28" ht="15.75" customHeight="1" x14ac:dyDescent="0.2">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row>
    <row r="868" spans="1:28" ht="15.75" customHeight="1" x14ac:dyDescent="0.2">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row>
    <row r="869" spans="1:28" ht="15.75" customHeight="1" x14ac:dyDescent="0.2">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row>
    <row r="870" spans="1:28" ht="15.75" customHeight="1" x14ac:dyDescent="0.2">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row>
    <row r="871" spans="1:28" ht="15.75" customHeight="1" x14ac:dyDescent="0.2">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row>
    <row r="872" spans="1:28" ht="15.75" customHeight="1" x14ac:dyDescent="0.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row>
    <row r="873" spans="1:28" ht="15.75" customHeight="1" x14ac:dyDescent="0.2">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row>
    <row r="874" spans="1:28" ht="15.75" customHeight="1" x14ac:dyDescent="0.2">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row>
    <row r="875" spans="1:28" ht="15.75" customHeight="1" x14ac:dyDescent="0.2">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row>
    <row r="876" spans="1:28" ht="15.75" customHeight="1" x14ac:dyDescent="0.2">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row>
    <row r="877" spans="1:28" ht="15.75" customHeight="1" x14ac:dyDescent="0.2">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row>
    <row r="878" spans="1:28" ht="15.75" customHeight="1" x14ac:dyDescent="0.2">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row>
    <row r="879" spans="1:28" ht="15.75" customHeight="1" x14ac:dyDescent="0.2">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row>
    <row r="880" spans="1:28" ht="15.75" customHeight="1" x14ac:dyDescent="0.2">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row>
    <row r="881" spans="1:28" ht="15.75" customHeight="1" x14ac:dyDescent="0.2">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row>
    <row r="882" spans="1:28" ht="15.75" customHeight="1" x14ac:dyDescent="0.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row>
    <row r="883" spans="1:28" ht="15.75" customHeight="1" x14ac:dyDescent="0.2">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row>
    <row r="884" spans="1:28" ht="15.75" customHeight="1" x14ac:dyDescent="0.2">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row>
    <row r="885" spans="1:28" ht="15.75" customHeight="1" x14ac:dyDescent="0.2">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row>
    <row r="886" spans="1:28" ht="15.75" customHeight="1" x14ac:dyDescent="0.2">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row>
    <row r="887" spans="1:28" ht="15.75" customHeight="1" x14ac:dyDescent="0.2">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row>
    <row r="888" spans="1:28" ht="15.75" customHeight="1" x14ac:dyDescent="0.2">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row>
    <row r="889" spans="1:28" ht="15.75" customHeight="1" x14ac:dyDescent="0.2">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row>
    <row r="890" spans="1:28" ht="15.75" customHeight="1" x14ac:dyDescent="0.2">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row>
    <row r="891" spans="1:28" ht="15.75" customHeight="1" x14ac:dyDescent="0.2">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row>
    <row r="892" spans="1:28" ht="15.75" customHeight="1" x14ac:dyDescent="0.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row>
    <row r="893" spans="1:28" ht="15.75" customHeight="1" x14ac:dyDescent="0.2">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row>
    <row r="894" spans="1:28" ht="15.75" customHeight="1" x14ac:dyDescent="0.2">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row>
    <row r="895" spans="1:28" ht="15.75" customHeight="1" x14ac:dyDescent="0.2">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row>
    <row r="896" spans="1:28" ht="15.75" customHeight="1" x14ac:dyDescent="0.2">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row>
    <row r="897" spans="1:28" ht="15.75" customHeight="1" x14ac:dyDescent="0.2">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row>
    <row r="898" spans="1:28" ht="15.75" customHeight="1" x14ac:dyDescent="0.2">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row>
    <row r="899" spans="1:28" ht="15.75" customHeight="1" x14ac:dyDescent="0.2">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row>
    <row r="900" spans="1:28" ht="15.75" customHeight="1" x14ac:dyDescent="0.2">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row>
    <row r="901" spans="1:28" ht="15.75" customHeight="1" x14ac:dyDescent="0.2">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row>
    <row r="902" spans="1:28" ht="15.75" customHeight="1" x14ac:dyDescent="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row>
    <row r="903" spans="1:28" ht="15.75" customHeight="1" x14ac:dyDescent="0.2">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row>
    <row r="904" spans="1:28" ht="15.75" customHeight="1" x14ac:dyDescent="0.2">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row>
    <row r="905" spans="1:28" ht="15.75" customHeight="1" x14ac:dyDescent="0.2">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row>
    <row r="906" spans="1:28" ht="15.75" customHeight="1" x14ac:dyDescent="0.2">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row>
    <row r="907" spans="1:28" ht="15.75" customHeight="1" x14ac:dyDescent="0.2">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row>
    <row r="908" spans="1:28" ht="15.75" customHeight="1" x14ac:dyDescent="0.2">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row>
    <row r="909" spans="1:28" ht="15.75" customHeight="1" x14ac:dyDescent="0.2">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row>
    <row r="910" spans="1:28" ht="15.75" customHeight="1" x14ac:dyDescent="0.2">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row>
    <row r="911" spans="1:28" ht="15.75" customHeight="1" x14ac:dyDescent="0.2">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row>
    <row r="912" spans="1:28" ht="15.75" customHeight="1" x14ac:dyDescent="0.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row>
    <row r="913" spans="1:28" ht="15.75" customHeight="1" x14ac:dyDescent="0.2">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row>
    <row r="914" spans="1:28" ht="15.75" customHeight="1" x14ac:dyDescent="0.2">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row>
    <row r="915" spans="1:28" ht="15.75" customHeight="1" x14ac:dyDescent="0.2">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row>
    <row r="916" spans="1:28" ht="15.75" customHeight="1" x14ac:dyDescent="0.2">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row>
    <row r="917" spans="1:28" ht="15.75" customHeight="1" x14ac:dyDescent="0.2">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row>
    <row r="918" spans="1:28" ht="15.75" customHeight="1" x14ac:dyDescent="0.2">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row>
    <row r="919" spans="1:28" ht="15.75" customHeight="1" x14ac:dyDescent="0.2">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row>
    <row r="920" spans="1:28" ht="15.75" customHeight="1" x14ac:dyDescent="0.2">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row>
    <row r="921" spans="1:28" ht="15.75" customHeight="1" x14ac:dyDescent="0.2">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row>
    <row r="922" spans="1:28" ht="15.75" customHeight="1" x14ac:dyDescent="0.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row>
    <row r="923" spans="1:28" ht="15.75" customHeight="1" x14ac:dyDescent="0.2">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row>
    <row r="924" spans="1:28" ht="15.75" customHeight="1" x14ac:dyDescent="0.2">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row>
    <row r="925" spans="1:28" ht="15.75" customHeight="1" x14ac:dyDescent="0.2">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row>
    <row r="926" spans="1:28" ht="15.75" customHeight="1" x14ac:dyDescent="0.2">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row>
    <row r="927" spans="1:28" ht="15.75" customHeight="1" x14ac:dyDescent="0.2">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row>
    <row r="928" spans="1:28" ht="15.75" customHeight="1" x14ac:dyDescent="0.2">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row>
    <row r="929" spans="1:28" ht="15.75" customHeight="1" x14ac:dyDescent="0.2">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row>
    <row r="930" spans="1:28" ht="15.75" customHeight="1" x14ac:dyDescent="0.2">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row>
    <row r="931" spans="1:28" ht="15.75" customHeight="1" x14ac:dyDescent="0.2">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row>
    <row r="932" spans="1:28" ht="15.75" customHeight="1" x14ac:dyDescent="0.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row>
    <row r="933" spans="1:28" ht="15.75" customHeight="1" x14ac:dyDescent="0.2">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row>
    <row r="934" spans="1:28" ht="15.75" customHeight="1" x14ac:dyDescent="0.2">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row>
    <row r="935" spans="1:28" ht="15.75" customHeight="1" x14ac:dyDescent="0.2">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row>
    <row r="936" spans="1:28" ht="15.75" customHeight="1" x14ac:dyDescent="0.2">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row>
    <row r="937" spans="1:28" ht="15.75" customHeight="1" x14ac:dyDescent="0.2">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row>
    <row r="938" spans="1:28" ht="15.75" customHeight="1" x14ac:dyDescent="0.2">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row>
    <row r="939" spans="1:28" ht="15.75" customHeight="1" x14ac:dyDescent="0.2">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row>
    <row r="940" spans="1:28" ht="15.75" customHeight="1" x14ac:dyDescent="0.2">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row>
    <row r="941" spans="1:28" ht="15.75" customHeight="1" x14ac:dyDescent="0.2">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row>
    <row r="942" spans="1:28" ht="15.75" customHeight="1" x14ac:dyDescent="0.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row>
    <row r="943" spans="1:28" ht="15.75" customHeight="1" x14ac:dyDescent="0.2">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row>
    <row r="944" spans="1:28" ht="15.75" customHeight="1" x14ac:dyDescent="0.2">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row>
    <row r="945" spans="1:28" ht="15.75" customHeight="1" x14ac:dyDescent="0.2">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row>
    <row r="946" spans="1:28" ht="15.75" customHeight="1" x14ac:dyDescent="0.2">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row>
    <row r="947" spans="1:28" ht="15.75" customHeight="1" x14ac:dyDescent="0.2">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row>
    <row r="948" spans="1:28" ht="15.75" customHeight="1" x14ac:dyDescent="0.2">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row>
    <row r="949" spans="1:28" ht="15.75" customHeight="1" x14ac:dyDescent="0.2">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row>
    <row r="950" spans="1:28" ht="15.75" customHeight="1" x14ac:dyDescent="0.2">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row>
    <row r="951" spans="1:28" ht="15.75" customHeight="1" x14ac:dyDescent="0.2">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row>
    <row r="952" spans="1:28" ht="15.75" customHeight="1" x14ac:dyDescent="0.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row>
    <row r="953" spans="1:28" ht="15.75" customHeight="1" x14ac:dyDescent="0.2">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row>
    <row r="954" spans="1:28" ht="15.75" customHeight="1" x14ac:dyDescent="0.2">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row>
    <row r="955" spans="1:28" ht="15.75" customHeight="1" x14ac:dyDescent="0.2">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row>
    <row r="956" spans="1:28" ht="15.75" customHeight="1" x14ac:dyDescent="0.2">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row>
    <row r="957" spans="1:28" ht="15.75" customHeight="1" x14ac:dyDescent="0.2">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row>
    <row r="958" spans="1:28" ht="15.75" customHeight="1" x14ac:dyDescent="0.2">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row>
    <row r="959" spans="1:28" ht="15.75" customHeight="1" x14ac:dyDescent="0.2">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row>
    <row r="960" spans="1:28" ht="15.75" customHeight="1" x14ac:dyDescent="0.2">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row>
    <row r="961" spans="1:28" ht="15.75" customHeight="1" x14ac:dyDescent="0.2">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row>
    <row r="962" spans="1:28" ht="15.75" customHeight="1" x14ac:dyDescent="0.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row>
    <row r="963" spans="1:28" ht="15.75" customHeight="1" x14ac:dyDescent="0.2">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row>
    <row r="964" spans="1:28" ht="15.75" customHeight="1" x14ac:dyDescent="0.2">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row>
    <row r="965" spans="1:28" ht="15.75" customHeight="1" x14ac:dyDescent="0.2">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row>
    <row r="966" spans="1:28" ht="15.75" customHeight="1" x14ac:dyDescent="0.2">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row>
    <row r="967" spans="1:28" ht="15.75" customHeight="1" x14ac:dyDescent="0.2">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row>
    <row r="968" spans="1:28" ht="15.75" customHeight="1" x14ac:dyDescent="0.2">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row>
    <row r="969" spans="1:28" ht="15.75" customHeight="1" x14ac:dyDescent="0.2">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row>
    <row r="970" spans="1:28" ht="15.75" customHeight="1" x14ac:dyDescent="0.2">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row>
    <row r="971" spans="1:28" ht="15.75" customHeight="1" x14ac:dyDescent="0.2">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row>
    <row r="972" spans="1:28" ht="15.75" customHeight="1" x14ac:dyDescent="0.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row>
    <row r="973" spans="1:28" ht="15.75" customHeight="1" x14ac:dyDescent="0.2">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row>
    <row r="974" spans="1:28" ht="15.75" customHeight="1" x14ac:dyDescent="0.2">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row>
    <row r="975" spans="1:28" ht="15.75" customHeight="1" x14ac:dyDescent="0.2">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row>
    <row r="976" spans="1:28" ht="15.75" customHeight="1" x14ac:dyDescent="0.2">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row>
    <row r="977" spans="1:28" ht="15.75" customHeight="1" x14ac:dyDescent="0.2">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row>
    <row r="978" spans="1:28" ht="15.75" customHeight="1" x14ac:dyDescent="0.2">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row>
    <row r="979" spans="1:28" ht="15.75" customHeight="1" x14ac:dyDescent="0.2">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row>
    <row r="980" spans="1:28" ht="15.75" customHeight="1" x14ac:dyDescent="0.2">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row>
    <row r="981" spans="1:28" ht="15.75" customHeight="1" x14ac:dyDescent="0.2">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row>
    <row r="982" spans="1:28" ht="15.75" customHeight="1" x14ac:dyDescent="0.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row>
    <row r="983" spans="1:28" ht="15.75" customHeight="1" x14ac:dyDescent="0.2">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row>
    <row r="984" spans="1:28" ht="15.75" customHeight="1" x14ac:dyDescent="0.2">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row>
    <row r="985" spans="1:28" ht="15.75" customHeight="1" x14ac:dyDescent="0.2">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row>
    <row r="986" spans="1:28" ht="15.75" customHeight="1" x14ac:dyDescent="0.2">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row>
    <row r="987" spans="1:28" ht="15.75" customHeight="1" x14ac:dyDescent="0.2">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row>
    <row r="988" spans="1:28" ht="15.75" customHeight="1" x14ac:dyDescent="0.2">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row>
    <row r="989" spans="1:28" ht="15.75" customHeight="1" x14ac:dyDescent="0.2">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row>
    <row r="990" spans="1:28" ht="15.75" customHeight="1" x14ac:dyDescent="0.2">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row>
    <row r="991" spans="1:28" ht="15.75" customHeight="1" x14ac:dyDescent="0.2">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row>
    <row r="992" spans="1:28" ht="15.75" customHeight="1" x14ac:dyDescent="0.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row>
    <row r="993" spans="1:28" ht="15.75" customHeight="1" x14ac:dyDescent="0.2">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row>
    <row r="994" spans="1:28" ht="15.75" customHeight="1" x14ac:dyDescent="0.2">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row>
    <row r="995" spans="1:28" ht="15.75" customHeight="1" x14ac:dyDescent="0.2">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row>
    <row r="996" spans="1:28" ht="15.75" customHeight="1" x14ac:dyDescent="0.2">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row>
    <row r="997" spans="1:28" ht="15.75" customHeight="1" x14ac:dyDescent="0.2">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row>
    <row r="998" spans="1:28" ht="15.75" customHeight="1" x14ac:dyDescent="0.2">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row>
    <row r="999" spans="1:28" ht="15.75" customHeight="1" x14ac:dyDescent="0.2">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row>
    <row r="1000" spans="1:28" ht="15.75" customHeight="1" x14ac:dyDescent="0.2">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row>
    <row r="1001" spans="1:28" ht="15.75" customHeight="1" x14ac:dyDescent="0.2">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c r="AB1001" s="12"/>
    </row>
    <row r="1002" spans="1:28" ht="15.75" customHeight="1" x14ac:dyDescent="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c r="AB1002" s="12"/>
    </row>
  </sheetData>
  <mergeCells count="20">
    <mergeCell ref="V1:V2"/>
    <mergeCell ref="W1:W2"/>
    <mergeCell ref="X1:Y1"/>
    <mergeCell ref="H1:H2"/>
    <mergeCell ref="I1:I2"/>
    <mergeCell ref="J1:J2"/>
    <mergeCell ref="K1:K2"/>
    <mergeCell ref="L1:L2"/>
    <mergeCell ref="N1:N2"/>
    <mergeCell ref="Q1:Q2"/>
    <mergeCell ref="F1:F2"/>
    <mergeCell ref="G1:G2"/>
    <mergeCell ref="O1:P1"/>
    <mergeCell ref="R1:T1"/>
    <mergeCell ref="U1:U2"/>
    <mergeCell ref="A1:A2"/>
    <mergeCell ref="B1:B2"/>
    <mergeCell ref="C1:C2"/>
    <mergeCell ref="D1:D2"/>
    <mergeCell ref="E1:E2"/>
  </mergeCells>
  <hyperlinks>
    <hyperlink ref="B6" r:id="rId1" xr:uid="{00000000-0004-0000-0100-000000000000}"/>
    <hyperlink ref="B8" r:id="rId2" xr:uid="{00000000-0004-0000-0100-000001000000}"/>
    <hyperlink ref="B11" r:id="rId3" xr:uid="{00000000-0004-0000-0100-000002000000}"/>
    <hyperlink ref="B12" r:id="rId4" xr:uid="{00000000-0004-0000-0100-000003000000}"/>
    <hyperlink ref="B17" r:id="rId5" xr:uid="{00000000-0004-0000-0100-000004000000}"/>
    <hyperlink ref="B18" r:id="rId6" xr:uid="{00000000-0004-0000-0100-000005000000}"/>
    <hyperlink ref="B19" r:id="rId7" xr:uid="{00000000-0004-0000-0100-000006000000}"/>
    <hyperlink ref="B22" r:id="rId8" xr:uid="{00000000-0004-0000-0100-000007000000}"/>
    <hyperlink ref="B25" r:id="rId9" xr:uid="{00000000-0004-0000-0100-000008000000}"/>
    <hyperlink ref="B27" r:id="rId10" xr:uid="{00000000-0004-0000-0100-000009000000}"/>
    <hyperlink ref="B30" r:id="rId11" xr:uid="{00000000-0004-0000-0100-00000A000000}"/>
    <hyperlink ref="B32" r:id="rId12" xr:uid="{00000000-0004-0000-0100-00000B000000}"/>
    <hyperlink ref="B33" r:id="rId13" xr:uid="{00000000-0004-0000-0100-00000C000000}"/>
    <hyperlink ref="B34" r:id="rId14" xr:uid="{00000000-0004-0000-0100-00000D000000}"/>
  </hyperlinks>
  <pageMargins left="0.7" right="0.7" top="0.75" bottom="0.75" header="0.3" footer="0.3"/>
  <pageSetup orientation="portrait"/>
  <headerFooter>
    <oddHeader>&amp;L&amp;C&amp;R</oddHeader>
    <oddFooter>&amp;L&amp;C&amp;R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79276-4B08-CC78-BA24-D90C44A4ACC5}">
  <sheetPr>
    <outlinePr summaryBelow="0" summaryRight="0"/>
  </sheetPr>
  <dimension ref="A1:Y1001"/>
  <sheetViews>
    <sheetView showGridLines="0" workbookViewId="0">
      <pane xSplit="1" ySplit="1" topLeftCell="B2" activePane="bottomRight" state="frozen"/>
      <selection pane="topRight" activeCell="B1" sqref="B1"/>
      <selection pane="bottomLeft" activeCell="A2" sqref="A2"/>
      <selection pane="bottomRight" activeCell="B22" sqref="B22"/>
    </sheetView>
  </sheetViews>
  <sheetFormatPr defaultColWidth="12.5703125" defaultRowHeight="15.75" customHeight="1" x14ac:dyDescent="0.2"/>
  <cols>
    <col min="1" max="1" width="37.85546875" customWidth="1"/>
    <col min="2" max="2" width="51.42578125" customWidth="1"/>
    <col min="3" max="3" width="36.7109375" customWidth="1"/>
    <col min="4" max="4" width="53.28515625" customWidth="1"/>
    <col min="5" max="5" width="46.140625" customWidth="1"/>
    <col min="6" max="6" width="21.140625" customWidth="1"/>
    <col min="7" max="7" width="42.5703125" customWidth="1"/>
    <col min="8" max="8" width="36.28515625" customWidth="1"/>
    <col min="9" max="9" width="21.7109375" customWidth="1"/>
    <col min="10" max="10" width="25.7109375" customWidth="1"/>
    <col min="11" max="11" width="22.7109375" customWidth="1"/>
    <col min="12" max="12" width="28.28515625" customWidth="1"/>
    <col min="13" max="13" width="34.28515625" customWidth="1"/>
    <col min="14" max="14" width="28.7109375" customWidth="1"/>
    <col min="15" max="15" width="24.140625" customWidth="1"/>
    <col min="16" max="16" width="25.28515625" customWidth="1"/>
    <col min="17" max="17" width="79.140625" customWidth="1"/>
    <col min="20" max="20" width="40.28515625" customWidth="1"/>
    <col min="21" max="21" width="99.28515625" customWidth="1"/>
    <col min="22" max="22" width="66.85546875" customWidth="1"/>
    <col min="25" max="25" width="88.7109375" customWidth="1"/>
  </cols>
  <sheetData>
    <row r="1" spans="1:25" ht="15.75" customHeight="1" x14ac:dyDescent="0.2">
      <c r="A1" s="20" t="s">
        <v>83</v>
      </c>
      <c r="B1" s="20" t="s">
        <v>18</v>
      </c>
      <c r="C1" s="6" t="s">
        <v>84</v>
      </c>
      <c r="D1" s="6" t="s">
        <v>85</v>
      </c>
      <c r="E1" s="6" t="s">
        <v>86</v>
      </c>
      <c r="F1" s="6" t="s">
        <v>87</v>
      </c>
      <c r="G1" s="6" t="s">
        <v>33</v>
      </c>
      <c r="H1" s="6" t="s">
        <v>36</v>
      </c>
      <c r="I1" s="6" t="s">
        <v>88</v>
      </c>
      <c r="J1" s="6" t="s">
        <v>89</v>
      </c>
      <c r="K1" s="6" t="s">
        <v>90</v>
      </c>
      <c r="L1" s="6" t="s">
        <v>91</v>
      </c>
      <c r="M1" s="6" t="s">
        <v>92</v>
      </c>
      <c r="N1" s="87" t="s">
        <v>50</v>
      </c>
      <c r="O1" s="88"/>
      <c r="P1" s="6" t="s">
        <v>93</v>
      </c>
      <c r="Q1" s="87" t="s">
        <v>94</v>
      </c>
      <c r="R1" s="89"/>
      <c r="S1" s="88"/>
      <c r="T1" s="6" t="s">
        <v>95</v>
      </c>
      <c r="U1" s="6" t="s">
        <v>96</v>
      </c>
      <c r="V1" s="6" t="s">
        <v>53</v>
      </c>
      <c r="W1" s="87" t="s">
        <v>97</v>
      </c>
      <c r="X1" s="88"/>
      <c r="Y1" s="6" t="s">
        <v>98</v>
      </c>
    </row>
    <row r="2" spans="1:25" ht="15.75" customHeight="1" x14ac:dyDescent="0.2">
      <c r="A2" s="13" t="s">
        <v>392</v>
      </c>
      <c r="B2" s="21" t="s">
        <v>393</v>
      </c>
      <c r="C2" s="22" t="s">
        <v>394</v>
      </c>
      <c r="D2" s="21" t="s">
        <v>395</v>
      </c>
      <c r="E2" s="21" t="s">
        <v>396</v>
      </c>
      <c r="F2" s="22" t="s">
        <v>394</v>
      </c>
      <c r="G2" s="21" t="s">
        <v>397</v>
      </c>
      <c r="H2" s="21" t="s">
        <v>398</v>
      </c>
      <c r="I2" s="21" t="s">
        <v>399</v>
      </c>
      <c r="J2" s="21" t="s">
        <v>394</v>
      </c>
      <c r="K2" s="21" t="s">
        <v>400</v>
      </c>
      <c r="L2" s="21" t="s">
        <v>401</v>
      </c>
      <c r="M2" s="21" t="s">
        <v>402</v>
      </c>
      <c r="N2" s="22" t="s">
        <v>394</v>
      </c>
      <c r="O2" s="22" t="s">
        <v>394</v>
      </c>
      <c r="P2" s="22" t="s">
        <v>403</v>
      </c>
      <c r="Q2" s="22" t="s">
        <v>404</v>
      </c>
      <c r="R2" s="22" t="s">
        <v>405</v>
      </c>
      <c r="S2" s="22" t="s">
        <v>394</v>
      </c>
      <c r="T2" s="21" t="s">
        <v>394</v>
      </c>
      <c r="U2" s="21" t="s">
        <v>406</v>
      </c>
      <c r="V2" s="22" t="s">
        <v>19</v>
      </c>
      <c r="W2" s="22" t="s">
        <v>407</v>
      </c>
      <c r="X2" s="22" t="s">
        <v>407</v>
      </c>
      <c r="Y2" s="23"/>
    </row>
    <row r="3" spans="1:25" ht="15.75" customHeight="1" x14ac:dyDescent="0.2">
      <c r="A3" s="13" t="s">
        <v>408</v>
      </c>
      <c r="B3" s="21" t="s">
        <v>409</v>
      </c>
      <c r="C3" s="22" t="s">
        <v>394</v>
      </c>
      <c r="D3" s="21" t="s">
        <v>410</v>
      </c>
      <c r="E3" s="21" t="s">
        <v>394</v>
      </c>
      <c r="F3" s="22" t="s">
        <v>394</v>
      </c>
      <c r="G3" s="21" t="s">
        <v>394</v>
      </c>
      <c r="H3" s="21" t="s">
        <v>394</v>
      </c>
      <c r="I3" s="22" t="s">
        <v>394</v>
      </c>
      <c r="J3" s="21" t="s">
        <v>394</v>
      </c>
      <c r="K3" s="21" t="s">
        <v>394</v>
      </c>
      <c r="L3" s="21" t="s">
        <v>394</v>
      </c>
      <c r="M3" s="22" t="s">
        <v>411</v>
      </c>
      <c r="N3" s="22" t="s">
        <v>412</v>
      </c>
      <c r="O3" s="22" t="s">
        <v>394</v>
      </c>
      <c r="P3" s="22" t="s">
        <v>394</v>
      </c>
      <c r="Q3" s="22" t="s">
        <v>413</v>
      </c>
      <c r="R3" s="22" t="s">
        <v>414</v>
      </c>
      <c r="S3" s="22" t="s">
        <v>394</v>
      </c>
      <c r="T3" s="21" t="s">
        <v>415</v>
      </c>
      <c r="U3" s="21" t="s">
        <v>416</v>
      </c>
      <c r="V3" s="22" t="s">
        <v>19</v>
      </c>
      <c r="W3" s="22" t="s">
        <v>407</v>
      </c>
      <c r="X3" s="22" t="s">
        <v>407</v>
      </c>
      <c r="Y3" s="23"/>
    </row>
    <row r="4" spans="1:25" ht="15.75" customHeight="1" x14ac:dyDescent="0.2">
      <c r="A4" s="13" t="s">
        <v>417</v>
      </c>
      <c r="B4" s="21" t="s">
        <v>418</v>
      </c>
      <c r="C4" s="21" t="s">
        <v>419</v>
      </c>
      <c r="D4" s="21" t="s">
        <v>420</v>
      </c>
      <c r="E4" s="21" t="s">
        <v>394</v>
      </c>
      <c r="F4" s="22" t="s">
        <v>394</v>
      </c>
      <c r="G4" s="21" t="s">
        <v>394</v>
      </c>
      <c r="H4" s="21" t="s">
        <v>394</v>
      </c>
      <c r="I4" s="22" t="s">
        <v>394</v>
      </c>
      <c r="J4" s="21" t="s">
        <v>394</v>
      </c>
      <c r="K4" s="21" t="s">
        <v>394</v>
      </c>
      <c r="L4" s="21" t="s">
        <v>394</v>
      </c>
      <c r="M4" s="22" t="s">
        <v>411</v>
      </c>
      <c r="N4" s="22" t="s">
        <v>394</v>
      </c>
      <c r="O4" s="22" t="s">
        <v>394</v>
      </c>
      <c r="P4" s="22" t="s">
        <v>394</v>
      </c>
      <c r="Q4" s="22" t="s">
        <v>394</v>
      </c>
      <c r="R4" s="22" t="s">
        <v>394</v>
      </c>
      <c r="S4" s="22" t="s">
        <v>394</v>
      </c>
      <c r="T4" s="21" t="s">
        <v>394</v>
      </c>
      <c r="U4" s="21" t="s">
        <v>421</v>
      </c>
      <c r="V4" s="22"/>
      <c r="W4" s="22"/>
      <c r="X4" s="22"/>
      <c r="Y4" s="23"/>
    </row>
    <row r="5" spans="1:25" ht="15.75" customHeight="1" x14ac:dyDescent="0.2">
      <c r="A5" s="13" t="s">
        <v>422</v>
      </c>
      <c r="B5" s="21" t="s">
        <v>423</v>
      </c>
      <c r="C5" s="22" t="s">
        <v>394</v>
      </c>
      <c r="D5" s="21" t="s">
        <v>394</v>
      </c>
      <c r="E5" s="21" t="s">
        <v>424</v>
      </c>
      <c r="F5" s="22" t="s">
        <v>394</v>
      </c>
      <c r="G5" s="21" t="s">
        <v>425</v>
      </c>
      <c r="H5" s="21" t="s">
        <v>426</v>
      </c>
      <c r="I5" s="22" t="s">
        <v>394</v>
      </c>
      <c r="J5" s="21" t="s">
        <v>394</v>
      </c>
      <c r="K5" s="21" t="s">
        <v>427</v>
      </c>
      <c r="L5" s="21" t="s">
        <v>428</v>
      </c>
      <c r="M5" s="22" t="s">
        <v>411</v>
      </c>
      <c r="N5" s="22" t="s">
        <v>394</v>
      </c>
      <c r="O5" s="22" t="s">
        <v>394</v>
      </c>
      <c r="P5" s="22" t="s">
        <v>394</v>
      </c>
      <c r="Q5" s="22" t="s">
        <v>429</v>
      </c>
      <c r="R5" s="22" t="s">
        <v>394</v>
      </c>
      <c r="S5" s="22" t="s">
        <v>394</v>
      </c>
      <c r="T5" s="21" t="s">
        <v>394</v>
      </c>
      <c r="U5" s="21" t="s">
        <v>430</v>
      </c>
      <c r="V5" s="22"/>
      <c r="W5" s="22"/>
      <c r="X5" s="22"/>
      <c r="Y5" s="23"/>
    </row>
    <row r="6" spans="1:25" ht="15.75" customHeight="1" x14ac:dyDescent="0.2">
      <c r="A6" s="13" t="s">
        <v>431</v>
      </c>
      <c r="B6" s="21" t="s">
        <v>432</v>
      </c>
      <c r="C6" s="22" t="s">
        <v>394</v>
      </c>
      <c r="D6" s="21" t="s">
        <v>394</v>
      </c>
      <c r="E6" s="21" t="s">
        <v>433</v>
      </c>
      <c r="F6" s="22" t="s">
        <v>394</v>
      </c>
      <c r="G6" s="21" t="s">
        <v>394</v>
      </c>
      <c r="H6" s="21" t="s">
        <v>394</v>
      </c>
      <c r="I6" s="22" t="s">
        <v>394</v>
      </c>
      <c r="J6" s="21" t="s">
        <v>394</v>
      </c>
      <c r="K6" s="21" t="s">
        <v>394</v>
      </c>
      <c r="L6" s="21" t="s">
        <v>434</v>
      </c>
      <c r="M6" s="22" t="s">
        <v>411</v>
      </c>
      <c r="N6" s="22" t="s">
        <v>394</v>
      </c>
      <c r="O6" s="22" t="s">
        <v>394</v>
      </c>
      <c r="P6" s="22" t="s">
        <v>394</v>
      </c>
      <c r="Q6" s="22" t="s">
        <v>435</v>
      </c>
      <c r="R6" s="22" t="s">
        <v>394</v>
      </c>
      <c r="S6" s="22" t="s">
        <v>394</v>
      </c>
      <c r="T6" s="21" t="s">
        <v>436</v>
      </c>
      <c r="U6" s="21"/>
      <c r="V6" s="22"/>
      <c r="W6" s="22"/>
      <c r="X6" s="22"/>
      <c r="Y6" s="23"/>
    </row>
    <row r="7" spans="1:25" ht="15.75" customHeight="1" x14ac:dyDescent="0.2">
      <c r="A7" s="13" t="s">
        <v>437</v>
      </c>
      <c r="B7" s="21" t="s">
        <v>438</v>
      </c>
      <c r="C7" s="22" t="s">
        <v>394</v>
      </c>
      <c r="D7" s="21" t="s">
        <v>394</v>
      </c>
      <c r="E7" s="21" t="s">
        <v>439</v>
      </c>
      <c r="F7" s="22" t="s">
        <v>440</v>
      </c>
      <c r="G7" s="21" t="s">
        <v>441</v>
      </c>
      <c r="H7" s="21" t="s">
        <v>442</v>
      </c>
      <c r="I7" s="22" t="s">
        <v>394</v>
      </c>
      <c r="J7" s="21" t="s">
        <v>443</v>
      </c>
      <c r="K7" s="21" t="s">
        <v>444</v>
      </c>
      <c r="L7" s="21" t="s">
        <v>394</v>
      </c>
      <c r="M7" s="22" t="s">
        <v>411</v>
      </c>
      <c r="N7" s="22" t="s">
        <v>445</v>
      </c>
      <c r="O7" s="22" t="s">
        <v>394</v>
      </c>
      <c r="P7" s="22" t="s">
        <v>394</v>
      </c>
      <c r="Q7" s="22" t="s">
        <v>394</v>
      </c>
      <c r="R7" s="22" t="s">
        <v>446</v>
      </c>
      <c r="S7" s="22" t="s">
        <v>447</v>
      </c>
      <c r="T7" s="21" t="s">
        <v>394</v>
      </c>
      <c r="U7" s="21" t="s">
        <v>448</v>
      </c>
      <c r="V7" s="22"/>
      <c r="W7" s="22"/>
      <c r="X7" s="22"/>
      <c r="Y7" s="23"/>
    </row>
    <row r="8" spans="1:25" ht="15.75" customHeight="1" x14ac:dyDescent="0.2">
      <c r="A8" s="13" t="s">
        <v>449</v>
      </c>
      <c r="B8" s="21" t="s">
        <v>450</v>
      </c>
      <c r="C8" s="22" t="s">
        <v>394</v>
      </c>
      <c r="D8" s="21" t="s">
        <v>394</v>
      </c>
      <c r="E8" s="21" t="s">
        <v>451</v>
      </c>
      <c r="F8" s="22" t="s">
        <v>394</v>
      </c>
      <c r="G8" s="21" t="s">
        <v>425</v>
      </c>
      <c r="H8" s="21" t="s">
        <v>452</v>
      </c>
      <c r="I8" s="22" t="s">
        <v>394</v>
      </c>
      <c r="J8" s="21" t="s">
        <v>394</v>
      </c>
      <c r="K8" s="21" t="s">
        <v>394</v>
      </c>
      <c r="L8" s="21" t="s">
        <v>453</v>
      </c>
      <c r="M8" s="22" t="s">
        <v>411</v>
      </c>
      <c r="N8" s="22" t="s">
        <v>394</v>
      </c>
      <c r="O8" s="22" t="s">
        <v>394</v>
      </c>
      <c r="P8" s="22" t="s">
        <v>394</v>
      </c>
      <c r="Q8" s="22" t="s">
        <v>454</v>
      </c>
      <c r="R8" s="22" t="s">
        <v>394</v>
      </c>
      <c r="S8" s="22" t="s">
        <v>394</v>
      </c>
      <c r="T8" s="21" t="s">
        <v>394</v>
      </c>
      <c r="U8" s="21" t="s">
        <v>455</v>
      </c>
      <c r="V8" s="22"/>
      <c r="W8" s="22"/>
      <c r="X8" s="22"/>
      <c r="Y8" s="23"/>
    </row>
    <row r="9" spans="1:25" ht="15.75" customHeight="1" x14ac:dyDescent="0.2">
      <c r="A9" s="13" t="s">
        <v>456</v>
      </c>
      <c r="B9" s="21" t="s">
        <v>457</v>
      </c>
      <c r="C9" s="22" t="s">
        <v>394</v>
      </c>
      <c r="D9" s="21" t="s">
        <v>458</v>
      </c>
      <c r="E9" s="21" t="s">
        <v>459</v>
      </c>
      <c r="F9" s="22" t="s">
        <v>394</v>
      </c>
      <c r="G9" s="21" t="s">
        <v>460</v>
      </c>
      <c r="H9" s="21" t="s">
        <v>461</v>
      </c>
      <c r="I9" s="22" t="s">
        <v>394</v>
      </c>
      <c r="J9" s="21" t="s">
        <v>394</v>
      </c>
      <c r="K9" s="21" t="s">
        <v>462</v>
      </c>
      <c r="L9" s="21" t="s">
        <v>463</v>
      </c>
      <c r="M9" s="22" t="s">
        <v>411</v>
      </c>
      <c r="N9" s="22" t="s">
        <v>394</v>
      </c>
      <c r="O9" s="22" t="s">
        <v>394</v>
      </c>
      <c r="P9" s="22" t="s">
        <v>394</v>
      </c>
      <c r="Q9" s="22" t="s">
        <v>464</v>
      </c>
      <c r="R9" s="22" t="s">
        <v>465</v>
      </c>
      <c r="S9" s="22" t="s">
        <v>394</v>
      </c>
      <c r="T9" s="21" t="s">
        <v>394</v>
      </c>
      <c r="U9" s="21" t="s">
        <v>466</v>
      </c>
      <c r="V9" s="22"/>
      <c r="W9" s="22"/>
      <c r="X9" s="22"/>
      <c r="Y9" s="23"/>
    </row>
    <row r="10" spans="1:25" ht="15.75" customHeight="1" x14ac:dyDescent="0.2">
      <c r="A10" s="13" t="s">
        <v>467</v>
      </c>
      <c r="B10" s="21" t="s">
        <v>394</v>
      </c>
      <c r="C10" s="22" t="s">
        <v>394</v>
      </c>
      <c r="D10" s="21" t="s">
        <v>394</v>
      </c>
      <c r="E10" s="21" t="s">
        <v>468</v>
      </c>
      <c r="F10" s="22" t="s">
        <v>394</v>
      </c>
      <c r="G10" s="21" t="s">
        <v>469</v>
      </c>
      <c r="H10" s="21" t="s">
        <v>470</v>
      </c>
      <c r="I10" s="22" t="s">
        <v>394</v>
      </c>
      <c r="J10" s="21" t="s">
        <v>394</v>
      </c>
      <c r="K10" s="21" t="s">
        <v>471</v>
      </c>
      <c r="L10" s="21" t="s">
        <v>472</v>
      </c>
      <c r="M10" s="22" t="s">
        <v>411</v>
      </c>
      <c r="N10" s="22" t="s">
        <v>394</v>
      </c>
      <c r="O10" s="22" t="s">
        <v>394</v>
      </c>
      <c r="P10" s="22" t="s">
        <v>394</v>
      </c>
      <c r="Q10" s="22" t="s">
        <v>394</v>
      </c>
      <c r="R10" s="22" t="s">
        <v>394</v>
      </c>
      <c r="S10" s="22" t="s">
        <v>394</v>
      </c>
      <c r="T10" s="21" t="s">
        <v>394</v>
      </c>
      <c r="U10" s="21" t="s">
        <v>455</v>
      </c>
      <c r="V10" s="22"/>
      <c r="W10" s="22"/>
      <c r="X10" s="22"/>
      <c r="Y10" s="23" t="s">
        <v>473</v>
      </c>
    </row>
    <row r="11" spans="1:25" ht="15.75" customHeight="1" x14ac:dyDescent="0.2">
      <c r="A11" s="13" t="s">
        <v>474</v>
      </c>
      <c r="B11" s="21" t="s">
        <v>394</v>
      </c>
      <c r="C11" s="21" t="s">
        <v>394</v>
      </c>
      <c r="D11" s="21" t="s">
        <v>475</v>
      </c>
      <c r="E11" s="21" t="s">
        <v>476</v>
      </c>
      <c r="F11" s="22" t="s">
        <v>394</v>
      </c>
      <c r="G11" s="21" t="s">
        <v>394</v>
      </c>
      <c r="H11" s="21" t="s">
        <v>477</v>
      </c>
      <c r="I11" s="22" t="s">
        <v>394</v>
      </c>
      <c r="J11" s="21" t="s">
        <v>394</v>
      </c>
      <c r="K11" s="21" t="s">
        <v>394</v>
      </c>
      <c r="L11" s="21" t="s">
        <v>477</v>
      </c>
      <c r="M11" s="22" t="s">
        <v>411</v>
      </c>
      <c r="N11" s="22" t="s">
        <v>394</v>
      </c>
      <c r="O11" s="22" t="s">
        <v>394</v>
      </c>
      <c r="P11" s="22" t="s">
        <v>394</v>
      </c>
      <c r="Q11" s="22" t="s">
        <v>394</v>
      </c>
      <c r="R11" s="22" t="s">
        <v>394</v>
      </c>
      <c r="S11" s="22" t="s">
        <v>394</v>
      </c>
      <c r="T11" s="21" t="s">
        <v>394</v>
      </c>
      <c r="U11" s="21"/>
      <c r="V11" s="22" t="s">
        <v>394</v>
      </c>
      <c r="W11" s="22"/>
      <c r="X11" s="22"/>
      <c r="Y11" s="22" t="s">
        <v>478</v>
      </c>
    </row>
    <row r="12" spans="1:25" ht="15.75" customHeight="1" x14ac:dyDescent="0.2">
      <c r="A12" s="13" t="s">
        <v>479</v>
      </c>
      <c r="B12" s="21" t="s">
        <v>394</v>
      </c>
      <c r="C12" s="22" t="s">
        <v>394</v>
      </c>
      <c r="D12" s="21" t="s">
        <v>480</v>
      </c>
      <c r="E12" s="21" t="s">
        <v>481</v>
      </c>
      <c r="F12" s="22" t="s">
        <v>394</v>
      </c>
      <c r="G12" s="21" t="s">
        <v>394</v>
      </c>
      <c r="H12" s="21" t="s">
        <v>394</v>
      </c>
      <c r="I12" s="22" t="s">
        <v>394</v>
      </c>
      <c r="J12" s="21" t="s">
        <v>394</v>
      </c>
      <c r="K12" s="21" t="s">
        <v>394</v>
      </c>
      <c r="L12" s="21" t="s">
        <v>482</v>
      </c>
      <c r="M12" s="22" t="s">
        <v>411</v>
      </c>
      <c r="N12" s="22" t="s">
        <v>394</v>
      </c>
      <c r="O12" s="22" t="s">
        <v>394</v>
      </c>
      <c r="P12" s="22" t="s">
        <v>394</v>
      </c>
      <c r="Q12" s="22" t="s">
        <v>483</v>
      </c>
      <c r="R12" s="22" t="s">
        <v>394</v>
      </c>
      <c r="S12" s="22" t="s">
        <v>394</v>
      </c>
      <c r="T12" s="21" t="s">
        <v>394</v>
      </c>
      <c r="U12" s="21" t="s">
        <v>484</v>
      </c>
      <c r="V12" s="22"/>
      <c r="W12" s="22"/>
      <c r="X12" s="22"/>
      <c r="Y12" s="23"/>
    </row>
    <row r="13" spans="1:25" ht="15.75" customHeight="1" x14ac:dyDescent="0.2">
      <c r="A13" s="13" t="s">
        <v>485</v>
      </c>
      <c r="B13" s="21" t="s">
        <v>486</v>
      </c>
      <c r="C13" s="22" t="s">
        <v>394</v>
      </c>
      <c r="D13" s="21" t="s">
        <v>487</v>
      </c>
      <c r="E13" s="21" t="s">
        <v>488</v>
      </c>
      <c r="F13" s="22" t="s">
        <v>489</v>
      </c>
      <c r="G13" s="21" t="s">
        <v>490</v>
      </c>
      <c r="H13" s="21" t="s">
        <v>491</v>
      </c>
      <c r="I13" s="22" t="s">
        <v>394</v>
      </c>
      <c r="J13" s="21" t="s">
        <v>394</v>
      </c>
      <c r="K13" s="21" t="s">
        <v>492</v>
      </c>
      <c r="L13" s="21" t="s">
        <v>493</v>
      </c>
      <c r="M13" s="22" t="s">
        <v>411</v>
      </c>
      <c r="N13" s="22" t="s">
        <v>394</v>
      </c>
      <c r="O13" s="22" t="s">
        <v>394</v>
      </c>
      <c r="P13" s="22" t="s">
        <v>494</v>
      </c>
      <c r="Q13" s="22" t="s">
        <v>495</v>
      </c>
      <c r="R13" s="22" t="s">
        <v>496</v>
      </c>
      <c r="S13" s="22" t="s">
        <v>394</v>
      </c>
      <c r="T13" s="21" t="s">
        <v>394</v>
      </c>
      <c r="U13" s="21" t="s">
        <v>497</v>
      </c>
      <c r="V13" s="22"/>
      <c r="W13" s="22"/>
      <c r="X13" s="22"/>
      <c r="Y13" s="23"/>
    </row>
    <row r="14" spans="1:25" ht="15.75" customHeight="1" x14ac:dyDescent="0.2">
      <c r="A14" s="13" t="s">
        <v>498</v>
      </c>
      <c r="B14" s="21" t="s">
        <v>486</v>
      </c>
      <c r="C14" s="22" t="s">
        <v>394</v>
      </c>
      <c r="D14" s="21" t="s">
        <v>487</v>
      </c>
      <c r="E14" s="21" t="s">
        <v>499</v>
      </c>
      <c r="F14" s="22" t="s">
        <v>489</v>
      </c>
      <c r="G14" s="21" t="s">
        <v>500</v>
      </c>
      <c r="H14" s="21" t="s">
        <v>491</v>
      </c>
      <c r="I14" s="22" t="s">
        <v>394</v>
      </c>
      <c r="J14" s="21" t="s">
        <v>394</v>
      </c>
      <c r="K14" s="21" t="s">
        <v>492</v>
      </c>
      <c r="L14" s="21" t="s">
        <v>501</v>
      </c>
      <c r="M14" s="22" t="s">
        <v>411</v>
      </c>
      <c r="N14" s="22" t="s">
        <v>394</v>
      </c>
      <c r="O14" s="22" t="s">
        <v>394</v>
      </c>
      <c r="P14" s="22" t="s">
        <v>494</v>
      </c>
      <c r="Q14" s="22" t="s">
        <v>495</v>
      </c>
      <c r="R14" s="22" t="s">
        <v>496</v>
      </c>
      <c r="S14" s="22" t="s">
        <v>394</v>
      </c>
      <c r="T14" s="21" t="s">
        <v>394</v>
      </c>
      <c r="U14" s="21" t="s">
        <v>502</v>
      </c>
      <c r="V14" s="22"/>
      <c r="W14" s="22"/>
      <c r="X14" s="22"/>
      <c r="Y14" s="23"/>
    </row>
    <row r="15" spans="1:25" ht="15.75" customHeight="1" x14ac:dyDescent="0.2">
      <c r="A15" s="24"/>
      <c r="B15" s="25"/>
      <c r="C15" s="25"/>
      <c r="D15" s="25"/>
      <c r="E15" s="25"/>
      <c r="F15" s="25"/>
      <c r="G15" s="25"/>
      <c r="H15" s="25"/>
      <c r="I15" s="25"/>
      <c r="J15" s="25"/>
      <c r="K15" s="25"/>
      <c r="L15" s="25"/>
      <c r="M15" s="25"/>
      <c r="N15" s="25"/>
      <c r="O15" s="25"/>
      <c r="P15" s="25"/>
      <c r="Q15" s="25"/>
      <c r="R15" s="25"/>
      <c r="S15" s="25"/>
      <c r="T15" s="25"/>
      <c r="U15" s="25"/>
      <c r="V15" s="25"/>
      <c r="W15" s="25"/>
      <c r="X15" s="25"/>
      <c r="Y15" s="25"/>
    </row>
    <row r="16" spans="1:25" ht="15.75" customHeight="1" x14ac:dyDescent="0.2">
      <c r="A16" s="24"/>
      <c r="B16" s="25"/>
      <c r="C16" s="25"/>
      <c r="D16" s="25"/>
      <c r="E16" s="25"/>
      <c r="F16" s="25"/>
      <c r="G16" s="25"/>
      <c r="H16" s="25"/>
      <c r="I16" s="25"/>
      <c r="J16" s="25"/>
      <c r="K16" s="25"/>
      <c r="L16" s="25"/>
      <c r="M16" s="25"/>
      <c r="N16" s="25"/>
      <c r="O16" s="25"/>
      <c r="P16" s="25"/>
      <c r="Q16" s="25"/>
      <c r="R16" s="25"/>
      <c r="S16" s="25"/>
      <c r="T16" s="25"/>
      <c r="U16" s="25"/>
      <c r="V16" s="25"/>
      <c r="W16" s="25"/>
      <c r="X16" s="25"/>
      <c r="Y16" s="25"/>
    </row>
    <row r="17" spans="1:25" ht="15.75" customHeight="1" x14ac:dyDescent="0.2">
      <c r="A17" s="24"/>
      <c r="B17" s="26"/>
      <c r="C17" s="25"/>
      <c r="D17" s="25"/>
      <c r="E17" s="25"/>
      <c r="F17" s="25"/>
      <c r="G17" s="25"/>
      <c r="H17" s="25"/>
      <c r="I17" s="25"/>
      <c r="J17" s="25"/>
      <c r="K17" s="25"/>
      <c r="L17" s="25"/>
      <c r="M17" s="25"/>
      <c r="N17" s="25"/>
      <c r="O17" s="25"/>
      <c r="P17" s="25"/>
      <c r="Q17" s="25"/>
      <c r="R17" s="25"/>
      <c r="S17" s="25"/>
      <c r="T17" s="25"/>
      <c r="U17" s="25"/>
      <c r="V17" s="25"/>
      <c r="W17" s="25"/>
      <c r="X17" s="25"/>
      <c r="Y17" s="27"/>
    </row>
    <row r="18" spans="1:25" ht="15.75" customHeight="1" x14ac:dyDescent="0.2">
      <c r="A18" s="24"/>
      <c r="B18" s="26"/>
      <c r="C18" s="25"/>
      <c r="D18" s="25"/>
      <c r="E18" s="25"/>
      <c r="F18" s="25"/>
      <c r="G18" s="25"/>
      <c r="H18" s="25"/>
      <c r="I18" s="25"/>
      <c r="J18" s="25"/>
      <c r="K18" s="25"/>
      <c r="L18" s="25"/>
      <c r="M18" s="25"/>
      <c r="N18" s="25"/>
      <c r="O18" s="25"/>
      <c r="P18" s="25"/>
      <c r="Q18" s="25"/>
      <c r="R18" s="25"/>
      <c r="S18" s="25"/>
      <c r="T18" s="25"/>
      <c r="U18" s="25"/>
      <c r="V18" s="25"/>
      <c r="W18" s="25"/>
      <c r="X18" s="25"/>
      <c r="Y18" s="25"/>
    </row>
    <row r="19" spans="1:25" ht="15.75" customHeight="1" x14ac:dyDescent="0.2">
      <c r="A19" s="24"/>
      <c r="B19" s="26"/>
      <c r="C19" s="25"/>
      <c r="D19" s="25"/>
      <c r="E19" s="25"/>
      <c r="F19" s="25"/>
      <c r="G19" s="25"/>
      <c r="H19" s="25"/>
      <c r="I19" s="25"/>
      <c r="J19" s="25"/>
      <c r="K19" s="25"/>
      <c r="L19" s="25"/>
      <c r="M19" s="25"/>
      <c r="N19" s="25"/>
      <c r="O19" s="25"/>
      <c r="P19" s="25"/>
      <c r="Q19" s="25"/>
      <c r="R19" s="25"/>
      <c r="S19" s="25"/>
      <c r="T19" s="25"/>
      <c r="U19" s="25"/>
      <c r="V19" s="25"/>
      <c r="W19" s="25"/>
      <c r="X19" s="25"/>
      <c r="Y19" s="25"/>
    </row>
    <row r="20" spans="1:25" ht="15.75" customHeight="1" x14ac:dyDescent="0.2">
      <c r="A20" s="24"/>
      <c r="B20" s="25"/>
      <c r="C20" s="25"/>
      <c r="D20" s="25"/>
      <c r="E20" s="25"/>
      <c r="F20" s="25"/>
      <c r="G20" s="25"/>
      <c r="H20" s="25"/>
      <c r="I20" s="25"/>
      <c r="J20" s="25"/>
      <c r="K20" s="25"/>
      <c r="L20" s="25"/>
      <c r="M20" s="25"/>
      <c r="N20" s="25"/>
      <c r="O20" s="25"/>
      <c r="P20" s="25"/>
      <c r="Q20" s="25"/>
      <c r="R20" s="25"/>
      <c r="S20" s="25"/>
      <c r="T20" s="25"/>
      <c r="U20" s="25"/>
      <c r="V20" s="25"/>
      <c r="W20" s="25"/>
      <c r="X20" s="25"/>
      <c r="Y20" s="25"/>
    </row>
    <row r="21" spans="1:25" ht="15.75" customHeight="1" x14ac:dyDescent="0.2">
      <c r="A21" s="24"/>
      <c r="B21" s="25"/>
      <c r="C21" s="25"/>
      <c r="D21" s="25"/>
      <c r="E21" s="25"/>
      <c r="F21" s="25"/>
      <c r="G21" s="25"/>
      <c r="H21" s="25"/>
      <c r="I21" s="25"/>
      <c r="J21" s="25"/>
      <c r="K21" s="25"/>
      <c r="L21" s="25"/>
      <c r="M21" s="25"/>
      <c r="N21" s="25"/>
      <c r="O21" s="25"/>
      <c r="P21" s="25"/>
      <c r="Q21" s="25"/>
      <c r="R21" s="25"/>
      <c r="S21" s="25"/>
      <c r="T21" s="25"/>
      <c r="U21" s="25"/>
      <c r="V21" s="25"/>
      <c r="W21" s="25"/>
      <c r="X21" s="25"/>
      <c r="Y21" s="25"/>
    </row>
    <row r="22" spans="1:25" ht="15.75" customHeight="1" x14ac:dyDescent="0.2">
      <c r="A22" s="24"/>
      <c r="B22" s="26"/>
      <c r="C22" s="25"/>
      <c r="D22" s="25"/>
      <c r="E22" s="25"/>
      <c r="F22" s="25"/>
      <c r="G22" s="25"/>
      <c r="H22" s="25"/>
      <c r="I22" s="25"/>
      <c r="J22" s="25"/>
      <c r="K22" s="25"/>
      <c r="L22" s="25"/>
      <c r="M22" s="25"/>
      <c r="N22" s="25"/>
      <c r="O22" s="25"/>
      <c r="P22" s="25"/>
      <c r="Q22" s="25"/>
      <c r="R22" s="25"/>
      <c r="S22" s="25"/>
      <c r="T22" s="25"/>
      <c r="U22" s="25"/>
      <c r="V22" s="25"/>
      <c r="W22" s="25"/>
      <c r="X22" s="25"/>
      <c r="Y22" s="25"/>
    </row>
    <row r="23" spans="1:25" ht="15.75" customHeight="1" x14ac:dyDescent="0.2">
      <c r="A23" s="24"/>
      <c r="B23" s="25"/>
      <c r="C23" s="25"/>
      <c r="D23" s="25"/>
      <c r="E23" s="25"/>
      <c r="F23" s="25"/>
      <c r="G23" s="25"/>
      <c r="H23" s="25"/>
      <c r="I23" s="25"/>
      <c r="J23" s="25"/>
      <c r="K23" s="25"/>
      <c r="L23" s="25"/>
      <c r="M23" s="25"/>
      <c r="N23" s="25"/>
      <c r="O23" s="25"/>
      <c r="P23" s="25"/>
      <c r="Q23" s="25"/>
      <c r="R23" s="25"/>
      <c r="S23" s="25"/>
      <c r="T23" s="25"/>
      <c r="U23" s="25"/>
      <c r="V23" s="25"/>
      <c r="W23" s="25"/>
      <c r="X23" s="25"/>
      <c r="Y23" s="25"/>
    </row>
    <row r="24" spans="1:25" ht="15.75" customHeight="1" x14ac:dyDescent="0.2">
      <c r="A24" s="24"/>
      <c r="B24" s="26"/>
      <c r="C24" s="25"/>
      <c r="D24" s="25"/>
      <c r="E24" s="25"/>
      <c r="F24" s="25"/>
      <c r="G24" s="25"/>
      <c r="H24" s="25"/>
      <c r="I24" s="25"/>
      <c r="J24" s="25"/>
      <c r="K24" s="25"/>
      <c r="L24" s="25"/>
      <c r="M24" s="25"/>
      <c r="N24" s="25"/>
      <c r="O24" s="25"/>
      <c r="P24" s="25"/>
      <c r="Q24" s="25"/>
      <c r="R24" s="25"/>
      <c r="S24" s="25"/>
      <c r="T24" s="25"/>
      <c r="U24" s="25"/>
      <c r="V24" s="25"/>
      <c r="W24" s="25"/>
      <c r="X24" s="25"/>
      <c r="Y24" s="25"/>
    </row>
    <row r="25" spans="1:25" ht="15.75" customHeight="1" x14ac:dyDescent="0.2">
      <c r="A25" s="24"/>
      <c r="B25" s="25"/>
      <c r="C25" s="25"/>
      <c r="D25" s="25"/>
      <c r="E25" s="25"/>
      <c r="F25" s="25"/>
      <c r="G25" s="25"/>
      <c r="H25" s="25"/>
      <c r="I25" s="25"/>
      <c r="J25" s="25"/>
      <c r="K25" s="25"/>
      <c r="L25" s="25"/>
      <c r="M25" s="25"/>
      <c r="N25" s="25"/>
      <c r="O25" s="25"/>
      <c r="P25" s="25"/>
      <c r="Q25" s="25"/>
      <c r="R25" s="25"/>
      <c r="S25" s="25"/>
      <c r="T25" s="25"/>
      <c r="U25" s="25"/>
      <c r="V25" s="25"/>
      <c r="W25" s="25"/>
      <c r="X25" s="25"/>
      <c r="Y25" s="25"/>
    </row>
    <row r="26" spans="1:25" ht="15.75" customHeight="1" x14ac:dyDescent="0.2">
      <c r="A26" s="24"/>
      <c r="B26" s="26"/>
      <c r="C26" s="25"/>
      <c r="D26" s="25"/>
      <c r="E26" s="25"/>
      <c r="F26" s="25"/>
      <c r="G26" s="25"/>
      <c r="H26" s="25"/>
      <c r="I26" s="25"/>
      <c r="J26" s="25"/>
      <c r="K26" s="25"/>
      <c r="L26" s="25"/>
      <c r="M26" s="25"/>
      <c r="N26" s="25"/>
      <c r="O26" s="25"/>
      <c r="P26" s="25"/>
      <c r="Q26" s="25"/>
      <c r="R26" s="25"/>
      <c r="S26" s="25"/>
      <c r="T26" s="25"/>
      <c r="U26" s="25"/>
      <c r="V26" s="25"/>
      <c r="W26" s="25"/>
      <c r="X26" s="25"/>
      <c r="Y26" s="25"/>
    </row>
    <row r="27" spans="1:25" ht="15.75" customHeight="1" x14ac:dyDescent="0.2">
      <c r="A27" s="24"/>
      <c r="B27" s="25"/>
      <c r="C27" s="25"/>
      <c r="D27" s="25"/>
      <c r="E27" s="25"/>
      <c r="F27" s="25"/>
      <c r="G27" s="25"/>
      <c r="H27" s="25"/>
      <c r="I27" s="25"/>
      <c r="J27" s="25"/>
      <c r="K27" s="25"/>
      <c r="L27" s="25"/>
      <c r="M27" s="25"/>
      <c r="N27" s="25"/>
      <c r="O27" s="25"/>
      <c r="P27" s="25"/>
      <c r="Q27" s="25"/>
      <c r="R27" s="25"/>
      <c r="S27" s="25"/>
      <c r="T27" s="25"/>
      <c r="U27" s="25"/>
      <c r="V27" s="25"/>
      <c r="W27" s="25"/>
      <c r="X27" s="25"/>
      <c r="Y27" s="25"/>
    </row>
    <row r="28" spans="1:25" ht="15.75" customHeight="1" x14ac:dyDescent="0.2">
      <c r="A28" s="24"/>
      <c r="B28" s="26"/>
      <c r="C28" s="25"/>
      <c r="D28" s="25"/>
      <c r="E28" s="25"/>
      <c r="F28" s="25"/>
      <c r="G28" s="25"/>
      <c r="H28" s="25"/>
      <c r="I28" s="25"/>
      <c r="J28" s="25"/>
      <c r="K28" s="25"/>
      <c r="L28" s="25"/>
      <c r="M28" s="25"/>
      <c r="N28" s="25"/>
      <c r="O28" s="25"/>
      <c r="P28" s="25"/>
      <c r="Q28" s="25"/>
      <c r="R28" s="25"/>
      <c r="S28" s="25"/>
      <c r="T28" s="25"/>
      <c r="U28" s="25"/>
      <c r="V28" s="25"/>
      <c r="W28" s="25"/>
      <c r="X28" s="25"/>
      <c r="Y28" s="25"/>
    </row>
    <row r="29" spans="1:25" ht="15.75" customHeight="1" x14ac:dyDescent="0.2">
      <c r="A29" s="24"/>
      <c r="B29" s="26"/>
      <c r="C29" s="25"/>
      <c r="D29" s="25"/>
      <c r="E29" s="25"/>
      <c r="F29" s="25"/>
      <c r="G29" s="25"/>
      <c r="H29" s="25"/>
      <c r="I29" s="25"/>
      <c r="J29" s="25"/>
      <c r="K29" s="25"/>
      <c r="L29" s="25"/>
      <c r="M29" s="25"/>
      <c r="N29" s="25"/>
      <c r="O29" s="25"/>
      <c r="P29" s="25"/>
      <c r="Q29" s="25"/>
      <c r="R29" s="25"/>
      <c r="S29" s="25"/>
      <c r="T29" s="25"/>
      <c r="U29" s="25"/>
      <c r="V29" s="25"/>
      <c r="W29" s="25"/>
      <c r="X29" s="25"/>
      <c r="Y29" s="25"/>
    </row>
    <row r="30" spans="1:25" ht="15.75" customHeight="1" x14ac:dyDescent="0.2">
      <c r="A30" s="24"/>
      <c r="B30" s="25"/>
      <c r="C30" s="25"/>
      <c r="D30" s="25"/>
      <c r="E30" s="25"/>
      <c r="F30" s="25"/>
      <c r="G30" s="25"/>
      <c r="H30" s="25"/>
      <c r="I30" s="25"/>
      <c r="J30" s="25"/>
      <c r="K30" s="25"/>
      <c r="L30" s="25"/>
      <c r="M30" s="25"/>
      <c r="N30" s="25"/>
      <c r="O30" s="25"/>
      <c r="P30" s="25"/>
      <c r="Q30" s="25"/>
      <c r="R30" s="25"/>
      <c r="S30" s="25"/>
      <c r="T30" s="25"/>
      <c r="U30" s="25"/>
      <c r="V30" s="25"/>
      <c r="W30" s="25"/>
      <c r="X30" s="25"/>
      <c r="Y30" s="25"/>
    </row>
    <row r="31" spans="1:25" ht="15.75" customHeight="1" x14ac:dyDescent="0.2">
      <c r="A31" s="24"/>
      <c r="B31" s="26"/>
      <c r="C31" s="25"/>
      <c r="D31" s="25"/>
      <c r="E31" s="25"/>
      <c r="F31" s="25"/>
      <c r="G31" s="25"/>
      <c r="H31" s="28"/>
      <c r="I31" s="25"/>
      <c r="J31" s="25"/>
      <c r="K31" s="25"/>
      <c r="L31" s="25"/>
      <c r="M31" s="25"/>
      <c r="N31" s="25"/>
      <c r="O31" s="25"/>
      <c r="P31" s="25"/>
      <c r="Q31" s="25"/>
      <c r="R31" s="25"/>
      <c r="S31" s="25"/>
      <c r="T31" s="25"/>
      <c r="U31" s="25"/>
      <c r="V31" s="25"/>
      <c r="W31" s="25"/>
      <c r="X31" s="25"/>
      <c r="Y31" s="25"/>
    </row>
    <row r="32" spans="1:25" ht="15.75" customHeight="1" x14ac:dyDescent="0.2">
      <c r="A32" s="24"/>
      <c r="B32" s="26"/>
      <c r="C32" s="25"/>
      <c r="D32" s="25"/>
      <c r="E32" s="25"/>
      <c r="F32" s="25"/>
      <c r="G32" s="25"/>
      <c r="H32" s="25"/>
      <c r="I32" s="25"/>
      <c r="J32" s="25"/>
      <c r="K32" s="25"/>
      <c r="L32" s="25"/>
      <c r="M32" s="25"/>
      <c r="N32" s="25"/>
      <c r="O32" s="25"/>
      <c r="P32" s="25"/>
      <c r="Q32" s="25"/>
      <c r="R32" s="25"/>
      <c r="S32" s="25"/>
      <c r="T32" s="25"/>
      <c r="U32" s="25"/>
      <c r="V32" s="25"/>
      <c r="W32" s="25"/>
      <c r="X32" s="25"/>
      <c r="Y32" s="25"/>
    </row>
    <row r="33" spans="1:25" ht="15.75" customHeight="1" x14ac:dyDescent="0.2">
      <c r="A33" s="24"/>
      <c r="B33" s="26"/>
      <c r="C33" s="25"/>
      <c r="D33" s="25"/>
      <c r="E33" s="25"/>
      <c r="F33" s="25"/>
      <c r="G33" s="25"/>
      <c r="H33" s="25"/>
      <c r="I33" s="25"/>
      <c r="J33" s="25"/>
      <c r="K33" s="25"/>
      <c r="L33" s="25"/>
      <c r="M33" s="25"/>
      <c r="N33" s="25"/>
      <c r="O33" s="25"/>
      <c r="P33" s="25"/>
      <c r="Q33" s="25"/>
      <c r="R33" s="25"/>
      <c r="S33" s="25"/>
      <c r="T33" s="25"/>
      <c r="U33" s="25"/>
      <c r="V33" s="25"/>
      <c r="W33" s="25"/>
      <c r="X33" s="25"/>
      <c r="Y33" s="25"/>
    </row>
    <row r="34" spans="1:25" ht="15.75" customHeight="1" x14ac:dyDescent="0.2">
      <c r="A34" s="24"/>
      <c r="B34" s="25"/>
      <c r="C34" s="25"/>
      <c r="D34" s="25"/>
      <c r="E34" s="25"/>
      <c r="F34" s="25"/>
      <c r="G34" s="25"/>
      <c r="H34" s="25"/>
      <c r="I34" s="25"/>
      <c r="J34" s="25"/>
      <c r="K34" s="25"/>
      <c r="L34" s="25"/>
      <c r="M34" s="25"/>
      <c r="N34" s="25"/>
      <c r="O34" s="25"/>
      <c r="P34" s="25"/>
      <c r="Q34" s="25"/>
      <c r="R34" s="25"/>
      <c r="S34" s="25"/>
      <c r="T34" s="25"/>
      <c r="U34" s="25"/>
      <c r="V34" s="25"/>
      <c r="W34" s="25"/>
      <c r="X34" s="25"/>
      <c r="Y34" s="25"/>
    </row>
    <row r="35" spans="1:25" ht="15.75" customHeight="1" x14ac:dyDescent="0.2">
      <c r="A35" s="24"/>
      <c r="B35" s="25"/>
      <c r="C35" s="25"/>
      <c r="D35" s="25"/>
      <c r="E35" s="25"/>
      <c r="F35" s="25"/>
      <c r="G35" s="25"/>
      <c r="H35" s="25"/>
      <c r="I35" s="25"/>
      <c r="J35" s="25"/>
      <c r="K35" s="25"/>
      <c r="L35" s="25"/>
      <c r="M35" s="25"/>
      <c r="N35" s="25"/>
      <c r="O35" s="25"/>
      <c r="P35" s="25"/>
      <c r="Q35" s="25"/>
      <c r="R35" s="25"/>
      <c r="S35" s="25"/>
      <c r="T35" s="25"/>
      <c r="U35" s="25"/>
      <c r="V35" s="25"/>
      <c r="W35" s="25"/>
      <c r="X35" s="25"/>
      <c r="Y35" s="25"/>
    </row>
    <row r="36" spans="1:25" ht="15.75" customHeight="1" x14ac:dyDescent="0.2">
      <c r="A36" s="29"/>
      <c r="B36" s="30"/>
      <c r="C36" s="30"/>
      <c r="D36" s="30"/>
      <c r="E36" s="30"/>
      <c r="F36" s="30"/>
      <c r="G36" s="30"/>
      <c r="H36" s="30"/>
      <c r="I36" s="30"/>
      <c r="J36" s="30"/>
      <c r="K36" s="30"/>
      <c r="L36" s="30"/>
      <c r="M36" s="30"/>
      <c r="N36" s="30"/>
      <c r="O36" s="30"/>
      <c r="P36" s="30"/>
      <c r="Q36" s="30"/>
      <c r="R36" s="30"/>
      <c r="S36" s="30"/>
      <c r="T36" s="30"/>
      <c r="U36" s="30"/>
      <c r="V36" s="30"/>
      <c r="W36" s="30"/>
      <c r="X36" s="30"/>
      <c r="Y36" s="30"/>
    </row>
    <row r="37" spans="1:25" ht="15.75" customHeight="1" x14ac:dyDescent="0.2">
      <c r="A37" s="29"/>
      <c r="B37" s="30"/>
      <c r="C37" s="30"/>
      <c r="D37" s="30"/>
      <c r="E37" s="30"/>
      <c r="F37" s="30"/>
      <c r="G37" s="30"/>
      <c r="H37" s="30"/>
      <c r="I37" s="30"/>
      <c r="J37" s="30"/>
      <c r="K37" s="30"/>
      <c r="L37" s="30"/>
      <c r="M37" s="30"/>
      <c r="N37" s="30"/>
      <c r="O37" s="30"/>
      <c r="P37" s="30"/>
      <c r="Q37" s="30"/>
      <c r="R37" s="30"/>
      <c r="S37" s="30"/>
      <c r="T37" s="30"/>
      <c r="U37" s="30"/>
      <c r="V37" s="30"/>
      <c r="W37" s="30"/>
      <c r="X37" s="30"/>
      <c r="Y37" s="30"/>
    </row>
    <row r="38" spans="1:25" ht="15.75" customHeight="1" x14ac:dyDescent="0.2">
      <c r="A38" s="29"/>
      <c r="B38" s="30"/>
      <c r="C38" s="30"/>
      <c r="D38" s="30"/>
      <c r="E38" s="30"/>
      <c r="F38" s="30"/>
      <c r="G38" s="30"/>
      <c r="H38" s="30"/>
      <c r="I38" s="30"/>
      <c r="J38" s="30"/>
      <c r="K38" s="30"/>
      <c r="L38" s="30"/>
      <c r="M38" s="30"/>
      <c r="N38" s="30"/>
      <c r="O38" s="30"/>
      <c r="P38" s="30"/>
      <c r="Q38" s="30"/>
      <c r="R38" s="30"/>
      <c r="S38" s="30"/>
      <c r="T38" s="30"/>
      <c r="U38" s="30"/>
      <c r="V38" s="30"/>
      <c r="W38" s="30"/>
      <c r="X38" s="30"/>
      <c r="Y38" s="30"/>
    </row>
    <row r="39" spans="1:25" ht="15.75" customHeight="1" x14ac:dyDescent="0.2">
      <c r="A39" s="29"/>
      <c r="B39" s="30"/>
      <c r="C39" s="30"/>
      <c r="D39" s="30"/>
      <c r="E39" s="30"/>
      <c r="F39" s="30"/>
      <c r="G39" s="30"/>
      <c r="H39" s="30"/>
      <c r="I39" s="30"/>
      <c r="J39" s="30"/>
      <c r="K39" s="30"/>
      <c r="L39" s="30"/>
      <c r="M39" s="30"/>
      <c r="N39" s="30"/>
      <c r="O39" s="30"/>
      <c r="P39" s="30"/>
      <c r="Q39" s="30"/>
      <c r="R39" s="30"/>
      <c r="S39" s="30"/>
      <c r="T39" s="30"/>
      <c r="U39" s="30"/>
      <c r="V39" s="30"/>
      <c r="W39" s="30"/>
      <c r="X39" s="30"/>
      <c r="Y39" s="30"/>
    </row>
    <row r="40" spans="1:25" ht="15.75" customHeight="1" x14ac:dyDescent="0.2">
      <c r="A40" s="29"/>
      <c r="B40" s="30"/>
      <c r="C40" s="30"/>
      <c r="D40" s="30"/>
      <c r="E40" s="30"/>
      <c r="F40" s="30"/>
      <c r="G40" s="30"/>
      <c r="H40" s="30"/>
      <c r="I40" s="30"/>
      <c r="J40" s="30"/>
      <c r="K40" s="30"/>
      <c r="L40" s="30"/>
      <c r="M40" s="30"/>
      <c r="N40" s="30"/>
      <c r="O40" s="30"/>
      <c r="P40" s="30"/>
      <c r="Q40" s="30"/>
      <c r="R40" s="30"/>
      <c r="S40" s="30"/>
      <c r="T40" s="30"/>
      <c r="U40" s="30"/>
      <c r="V40" s="30"/>
      <c r="W40" s="30"/>
      <c r="X40" s="30"/>
      <c r="Y40" s="30"/>
    </row>
    <row r="41" spans="1:25" ht="15.75" customHeight="1" x14ac:dyDescent="0.2">
      <c r="A41" s="29"/>
      <c r="B41" s="30"/>
      <c r="C41" s="30"/>
      <c r="D41" s="30"/>
      <c r="E41" s="30"/>
      <c r="F41" s="30"/>
      <c r="G41" s="30"/>
      <c r="H41" s="30"/>
      <c r="I41" s="30"/>
      <c r="J41" s="30"/>
      <c r="K41" s="30"/>
      <c r="L41" s="30"/>
      <c r="M41" s="30"/>
      <c r="N41" s="30"/>
      <c r="O41" s="30"/>
      <c r="P41" s="30"/>
      <c r="Q41" s="30"/>
      <c r="R41" s="30"/>
      <c r="S41" s="30"/>
      <c r="T41" s="30"/>
      <c r="U41" s="30"/>
      <c r="V41" s="30"/>
      <c r="W41" s="30"/>
      <c r="X41" s="30"/>
      <c r="Y41" s="30"/>
    </row>
    <row r="42" spans="1:25" ht="15.75" customHeight="1" x14ac:dyDescent="0.2">
      <c r="A42" s="29"/>
      <c r="B42" s="30"/>
      <c r="C42" s="30"/>
      <c r="D42" s="30"/>
      <c r="E42" s="30"/>
      <c r="F42" s="30"/>
      <c r="G42" s="30"/>
      <c r="H42" s="30"/>
      <c r="I42" s="30"/>
      <c r="J42" s="30"/>
      <c r="K42" s="30"/>
      <c r="L42" s="30"/>
      <c r="M42" s="30"/>
      <c r="N42" s="30"/>
      <c r="O42" s="30"/>
      <c r="P42" s="30"/>
      <c r="Q42" s="30"/>
      <c r="R42" s="30"/>
      <c r="S42" s="30"/>
      <c r="T42" s="30"/>
      <c r="U42" s="30"/>
      <c r="V42" s="30"/>
      <c r="W42" s="30"/>
      <c r="X42" s="30"/>
      <c r="Y42" s="30"/>
    </row>
    <row r="43" spans="1:25" ht="15.75" customHeight="1" x14ac:dyDescent="0.2">
      <c r="A43" s="29"/>
      <c r="B43" s="30"/>
      <c r="C43" s="30"/>
      <c r="D43" s="30"/>
      <c r="E43" s="30"/>
      <c r="F43" s="30"/>
      <c r="G43" s="30"/>
      <c r="H43" s="30"/>
      <c r="I43" s="30"/>
      <c r="J43" s="30"/>
      <c r="K43" s="30"/>
      <c r="L43" s="30"/>
      <c r="M43" s="30"/>
      <c r="N43" s="30"/>
      <c r="O43" s="30"/>
      <c r="P43" s="30"/>
      <c r="Q43" s="30"/>
      <c r="R43" s="30"/>
      <c r="S43" s="30"/>
      <c r="T43" s="30"/>
      <c r="U43" s="30"/>
      <c r="V43" s="30"/>
      <c r="W43" s="30"/>
      <c r="X43" s="30"/>
      <c r="Y43" s="30"/>
    </row>
    <row r="44" spans="1:25" ht="15.75" customHeight="1" x14ac:dyDescent="0.2">
      <c r="A44" s="29"/>
      <c r="B44" s="30"/>
      <c r="C44" s="30"/>
      <c r="D44" s="30"/>
      <c r="E44" s="30"/>
      <c r="F44" s="30"/>
      <c r="G44" s="30"/>
      <c r="H44" s="30"/>
      <c r="I44" s="30"/>
      <c r="J44" s="30"/>
      <c r="K44" s="30"/>
      <c r="L44" s="30"/>
      <c r="M44" s="30"/>
      <c r="N44" s="30"/>
      <c r="O44" s="30"/>
      <c r="P44" s="30"/>
      <c r="Q44" s="30"/>
      <c r="R44" s="30"/>
      <c r="S44" s="30"/>
      <c r="T44" s="30"/>
      <c r="U44" s="30"/>
      <c r="V44" s="30"/>
      <c r="W44" s="30"/>
      <c r="X44" s="30"/>
      <c r="Y44" s="30"/>
    </row>
    <row r="45" spans="1:25" ht="15.75" customHeight="1" x14ac:dyDescent="0.2">
      <c r="A45" s="29"/>
      <c r="B45" s="30"/>
      <c r="C45" s="30"/>
      <c r="D45" s="30"/>
      <c r="E45" s="30"/>
      <c r="F45" s="30"/>
      <c r="G45" s="30"/>
      <c r="H45" s="30"/>
      <c r="I45" s="30"/>
      <c r="J45" s="30"/>
      <c r="K45" s="30"/>
      <c r="L45" s="30"/>
      <c r="M45" s="30"/>
      <c r="N45" s="30"/>
      <c r="O45" s="30"/>
      <c r="P45" s="30"/>
      <c r="Q45" s="30"/>
      <c r="R45" s="30"/>
      <c r="S45" s="30"/>
      <c r="T45" s="30"/>
      <c r="U45" s="30"/>
      <c r="V45" s="30"/>
      <c r="W45" s="30"/>
      <c r="X45" s="30"/>
      <c r="Y45" s="30"/>
    </row>
    <row r="46" spans="1:25" ht="15.75" customHeight="1" x14ac:dyDescent="0.2">
      <c r="A46" s="29"/>
      <c r="B46" s="30"/>
      <c r="C46" s="30"/>
      <c r="D46" s="30"/>
      <c r="E46" s="30"/>
      <c r="F46" s="30"/>
      <c r="G46" s="30"/>
      <c r="H46" s="30"/>
      <c r="I46" s="30"/>
      <c r="J46" s="30"/>
      <c r="K46" s="30"/>
      <c r="L46" s="30"/>
      <c r="M46" s="30"/>
      <c r="N46" s="30"/>
      <c r="O46" s="30"/>
      <c r="P46" s="30"/>
      <c r="Q46" s="30"/>
      <c r="R46" s="30"/>
      <c r="S46" s="30"/>
      <c r="T46" s="30"/>
      <c r="U46" s="30"/>
      <c r="V46" s="30"/>
      <c r="W46" s="30"/>
      <c r="X46" s="30"/>
      <c r="Y46" s="30"/>
    </row>
    <row r="47" spans="1:25" ht="15.75" customHeight="1" x14ac:dyDescent="0.2">
      <c r="A47" s="29"/>
      <c r="B47" s="30"/>
      <c r="C47" s="30"/>
      <c r="D47" s="30"/>
      <c r="E47" s="30"/>
      <c r="F47" s="30"/>
      <c r="G47" s="30"/>
      <c r="H47" s="30"/>
      <c r="I47" s="30"/>
      <c r="J47" s="30"/>
      <c r="K47" s="30"/>
      <c r="L47" s="30"/>
      <c r="M47" s="30"/>
      <c r="N47" s="30"/>
      <c r="O47" s="30"/>
      <c r="P47" s="30"/>
      <c r="Q47" s="30"/>
      <c r="R47" s="30"/>
      <c r="S47" s="30"/>
      <c r="T47" s="30"/>
      <c r="U47" s="30"/>
      <c r="V47" s="30"/>
      <c r="W47" s="30"/>
      <c r="X47" s="30"/>
      <c r="Y47" s="30"/>
    </row>
    <row r="48" spans="1:25" ht="15.75" customHeight="1" x14ac:dyDescent="0.2">
      <c r="A48" s="29"/>
      <c r="B48" s="30"/>
      <c r="C48" s="30"/>
      <c r="D48" s="30"/>
      <c r="E48" s="30"/>
      <c r="F48" s="30"/>
      <c r="G48" s="30"/>
      <c r="H48" s="30"/>
      <c r="I48" s="30"/>
      <c r="J48" s="30"/>
      <c r="K48" s="30"/>
      <c r="L48" s="30"/>
      <c r="M48" s="30"/>
      <c r="N48" s="30"/>
      <c r="O48" s="30"/>
      <c r="P48" s="30"/>
      <c r="Q48" s="30"/>
      <c r="R48" s="30"/>
      <c r="S48" s="30"/>
      <c r="T48" s="30"/>
      <c r="U48" s="30"/>
      <c r="V48" s="30"/>
      <c r="W48" s="30"/>
      <c r="X48" s="30"/>
      <c r="Y48" s="30"/>
    </row>
    <row r="49" spans="1:25" ht="15.75" customHeight="1" x14ac:dyDescent="0.2">
      <c r="A49" s="29"/>
      <c r="B49" s="30"/>
      <c r="C49" s="30"/>
      <c r="D49" s="30"/>
      <c r="E49" s="30"/>
      <c r="F49" s="30"/>
      <c r="G49" s="30"/>
      <c r="H49" s="30"/>
      <c r="I49" s="30"/>
      <c r="J49" s="30"/>
      <c r="K49" s="30"/>
      <c r="L49" s="30"/>
      <c r="M49" s="30"/>
      <c r="N49" s="30"/>
      <c r="O49" s="30"/>
      <c r="P49" s="30"/>
      <c r="Q49" s="30"/>
      <c r="R49" s="30"/>
      <c r="S49" s="30"/>
      <c r="T49" s="30"/>
      <c r="U49" s="30"/>
      <c r="V49" s="30"/>
      <c r="W49" s="30"/>
      <c r="X49" s="30"/>
      <c r="Y49" s="30"/>
    </row>
    <row r="50" spans="1:25" ht="15.75" customHeight="1" x14ac:dyDescent="0.2">
      <c r="A50" s="29"/>
      <c r="B50" s="30"/>
      <c r="C50" s="30"/>
      <c r="D50" s="30"/>
      <c r="E50" s="30"/>
      <c r="F50" s="30"/>
      <c r="G50" s="30"/>
      <c r="H50" s="30"/>
      <c r="I50" s="30"/>
      <c r="J50" s="30"/>
      <c r="K50" s="30"/>
      <c r="L50" s="30"/>
      <c r="M50" s="30"/>
      <c r="N50" s="30"/>
      <c r="O50" s="30"/>
      <c r="P50" s="30"/>
      <c r="Q50" s="30"/>
      <c r="R50" s="30"/>
      <c r="S50" s="30"/>
      <c r="T50" s="30"/>
      <c r="U50" s="30"/>
      <c r="V50" s="30"/>
      <c r="W50" s="30"/>
      <c r="X50" s="30"/>
      <c r="Y50" s="30"/>
    </row>
    <row r="51" spans="1:25" ht="15.75" customHeight="1" x14ac:dyDescent="0.2">
      <c r="A51" s="29"/>
      <c r="B51" s="30"/>
      <c r="C51" s="30"/>
      <c r="D51" s="30"/>
      <c r="E51" s="30"/>
      <c r="F51" s="30"/>
      <c r="G51" s="30"/>
      <c r="H51" s="30"/>
      <c r="I51" s="30"/>
      <c r="J51" s="30"/>
      <c r="K51" s="30"/>
      <c r="L51" s="30"/>
      <c r="M51" s="30"/>
      <c r="N51" s="30"/>
      <c r="O51" s="30"/>
      <c r="P51" s="30"/>
      <c r="Q51" s="30"/>
      <c r="R51" s="30"/>
      <c r="S51" s="30"/>
      <c r="T51" s="30"/>
      <c r="U51" s="30"/>
      <c r="V51" s="30"/>
      <c r="W51" s="30"/>
      <c r="X51" s="30"/>
      <c r="Y51" s="30"/>
    </row>
    <row r="52" spans="1:25" ht="15.75" customHeight="1" x14ac:dyDescent="0.2">
      <c r="A52" s="29"/>
      <c r="B52" s="30"/>
      <c r="C52" s="30"/>
      <c r="D52" s="30"/>
      <c r="E52" s="30"/>
      <c r="F52" s="30"/>
      <c r="G52" s="30"/>
      <c r="H52" s="30"/>
      <c r="I52" s="30"/>
      <c r="J52" s="30"/>
      <c r="K52" s="30"/>
      <c r="L52" s="30"/>
      <c r="M52" s="30"/>
      <c r="N52" s="30"/>
      <c r="O52" s="30"/>
      <c r="P52" s="30"/>
      <c r="Q52" s="30"/>
      <c r="R52" s="30"/>
      <c r="S52" s="30"/>
      <c r="T52" s="30"/>
      <c r="U52" s="30"/>
      <c r="V52" s="30"/>
      <c r="W52" s="30"/>
      <c r="X52" s="30"/>
      <c r="Y52" s="30"/>
    </row>
    <row r="53" spans="1:25" ht="15.75" customHeight="1" x14ac:dyDescent="0.2">
      <c r="A53" s="29"/>
      <c r="B53" s="30"/>
      <c r="C53" s="30"/>
      <c r="D53" s="30"/>
      <c r="E53" s="30"/>
      <c r="F53" s="30"/>
      <c r="G53" s="30"/>
      <c r="H53" s="30"/>
      <c r="I53" s="30"/>
      <c r="J53" s="30"/>
      <c r="K53" s="30"/>
      <c r="L53" s="30"/>
      <c r="M53" s="30"/>
      <c r="N53" s="30"/>
      <c r="O53" s="30"/>
      <c r="P53" s="30"/>
      <c r="Q53" s="30"/>
      <c r="R53" s="30"/>
      <c r="S53" s="30"/>
      <c r="T53" s="30"/>
      <c r="U53" s="30"/>
      <c r="V53" s="30"/>
      <c r="W53" s="30"/>
      <c r="X53" s="30"/>
      <c r="Y53" s="30"/>
    </row>
    <row r="54" spans="1:25" ht="15.75" customHeight="1" x14ac:dyDescent="0.2">
      <c r="A54" s="29"/>
      <c r="B54" s="30"/>
      <c r="C54" s="30"/>
      <c r="D54" s="30"/>
      <c r="E54" s="30"/>
      <c r="F54" s="30"/>
      <c r="G54" s="30"/>
      <c r="H54" s="30"/>
      <c r="I54" s="30"/>
      <c r="J54" s="30"/>
      <c r="K54" s="30"/>
      <c r="L54" s="30"/>
      <c r="M54" s="30"/>
      <c r="N54" s="30"/>
      <c r="O54" s="30"/>
      <c r="P54" s="30"/>
      <c r="Q54" s="30"/>
      <c r="R54" s="30"/>
      <c r="S54" s="30"/>
      <c r="T54" s="30"/>
      <c r="U54" s="30"/>
      <c r="V54" s="30"/>
      <c r="W54" s="30"/>
      <c r="X54" s="30"/>
      <c r="Y54" s="30"/>
    </row>
    <row r="55" spans="1:25" ht="15.75" customHeight="1" x14ac:dyDescent="0.2">
      <c r="A55" s="29"/>
      <c r="B55" s="30"/>
      <c r="C55" s="30"/>
      <c r="D55" s="30"/>
      <c r="E55" s="30"/>
      <c r="F55" s="30"/>
      <c r="G55" s="30"/>
      <c r="H55" s="30"/>
      <c r="I55" s="30"/>
      <c r="J55" s="30"/>
      <c r="K55" s="30"/>
      <c r="L55" s="30"/>
      <c r="M55" s="30"/>
      <c r="N55" s="30"/>
      <c r="O55" s="30"/>
      <c r="P55" s="30"/>
      <c r="Q55" s="30"/>
      <c r="R55" s="30"/>
      <c r="S55" s="30"/>
      <c r="T55" s="30"/>
      <c r="U55" s="30"/>
      <c r="V55" s="30"/>
      <c r="W55" s="30"/>
      <c r="X55" s="30"/>
      <c r="Y55" s="30"/>
    </row>
    <row r="56" spans="1:25" ht="15.75" customHeight="1" x14ac:dyDescent="0.2">
      <c r="A56" s="29"/>
      <c r="B56" s="30"/>
      <c r="C56" s="30"/>
      <c r="D56" s="30"/>
      <c r="E56" s="30"/>
      <c r="F56" s="30"/>
      <c r="G56" s="30"/>
      <c r="H56" s="30"/>
      <c r="I56" s="30"/>
      <c r="J56" s="30"/>
      <c r="K56" s="30"/>
      <c r="L56" s="30"/>
      <c r="M56" s="30"/>
      <c r="N56" s="30"/>
      <c r="O56" s="30"/>
      <c r="P56" s="30"/>
      <c r="Q56" s="30"/>
      <c r="R56" s="30"/>
      <c r="S56" s="30"/>
      <c r="T56" s="30"/>
      <c r="U56" s="30"/>
      <c r="V56" s="30"/>
      <c r="W56" s="30"/>
      <c r="X56" s="30"/>
      <c r="Y56" s="30"/>
    </row>
    <row r="57" spans="1:25" ht="15.75" customHeight="1" x14ac:dyDescent="0.2">
      <c r="A57" s="29"/>
      <c r="B57" s="30"/>
      <c r="C57" s="30"/>
      <c r="D57" s="30"/>
      <c r="E57" s="30"/>
      <c r="F57" s="30"/>
      <c r="G57" s="30"/>
      <c r="H57" s="30"/>
      <c r="I57" s="30"/>
      <c r="J57" s="30"/>
      <c r="K57" s="30"/>
      <c r="L57" s="30"/>
      <c r="M57" s="30"/>
      <c r="N57" s="30"/>
      <c r="O57" s="30"/>
      <c r="P57" s="30"/>
      <c r="Q57" s="30"/>
      <c r="R57" s="30"/>
      <c r="S57" s="30"/>
      <c r="T57" s="30"/>
      <c r="U57" s="30"/>
      <c r="V57" s="30"/>
      <c r="W57" s="30"/>
      <c r="X57" s="30"/>
      <c r="Y57" s="30"/>
    </row>
    <row r="58" spans="1:25" ht="15.75" customHeight="1" x14ac:dyDescent="0.2">
      <c r="A58" s="29"/>
      <c r="B58" s="30"/>
      <c r="C58" s="30"/>
      <c r="D58" s="30"/>
      <c r="E58" s="30"/>
      <c r="F58" s="30"/>
      <c r="G58" s="30"/>
      <c r="H58" s="30"/>
      <c r="I58" s="30"/>
      <c r="J58" s="30"/>
      <c r="K58" s="30"/>
      <c r="L58" s="30"/>
      <c r="M58" s="30"/>
      <c r="N58" s="30"/>
      <c r="O58" s="30"/>
      <c r="P58" s="30"/>
      <c r="Q58" s="30"/>
      <c r="R58" s="30"/>
      <c r="S58" s="30"/>
      <c r="T58" s="30"/>
      <c r="U58" s="30"/>
      <c r="V58" s="30"/>
      <c r="W58" s="30"/>
      <c r="X58" s="30"/>
      <c r="Y58" s="30"/>
    </row>
    <row r="59" spans="1:25" ht="15.75" customHeight="1" x14ac:dyDescent="0.2">
      <c r="A59" s="29"/>
      <c r="B59" s="30"/>
      <c r="C59" s="30"/>
      <c r="D59" s="30"/>
      <c r="E59" s="30"/>
      <c r="F59" s="30"/>
      <c r="G59" s="30"/>
      <c r="H59" s="30"/>
      <c r="I59" s="30"/>
      <c r="J59" s="30"/>
      <c r="K59" s="30"/>
      <c r="L59" s="30"/>
      <c r="M59" s="30"/>
      <c r="N59" s="30"/>
      <c r="O59" s="30"/>
      <c r="P59" s="30"/>
      <c r="Q59" s="30"/>
      <c r="R59" s="30"/>
      <c r="S59" s="30"/>
      <c r="T59" s="30"/>
      <c r="U59" s="30"/>
      <c r="V59" s="30"/>
      <c r="W59" s="30"/>
      <c r="X59" s="30"/>
      <c r="Y59" s="30"/>
    </row>
    <row r="60" spans="1:25" ht="15.75" customHeight="1" x14ac:dyDescent="0.2">
      <c r="A60" s="29"/>
      <c r="B60" s="30"/>
      <c r="C60" s="30"/>
      <c r="D60" s="30"/>
      <c r="E60" s="30"/>
      <c r="F60" s="30"/>
      <c r="G60" s="30"/>
      <c r="H60" s="30"/>
      <c r="I60" s="30"/>
      <c r="J60" s="30"/>
      <c r="K60" s="30"/>
      <c r="L60" s="30"/>
      <c r="M60" s="30"/>
      <c r="N60" s="30"/>
      <c r="O60" s="30"/>
      <c r="P60" s="30"/>
      <c r="Q60" s="30"/>
      <c r="R60" s="30"/>
      <c r="S60" s="30"/>
      <c r="T60" s="30"/>
      <c r="U60" s="30"/>
      <c r="V60" s="30"/>
      <c r="W60" s="30"/>
      <c r="X60" s="30"/>
      <c r="Y60" s="30"/>
    </row>
    <row r="61" spans="1:25" ht="15.75" customHeight="1" x14ac:dyDescent="0.2">
      <c r="A61" s="29"/>
      <c r="B61" s="30"/>
      <c r="C61" s="30"/>
      <c r="D61" s="30"/>
      <c r="E61" s="30"/>
      <c r="F61" s="30"/>
      <c r="G61" s="30"/>
      <c r="H61" s="30"/>
      <c r="I61" s="30"/>
      <c r="J61" s="30"/>
      <c r="K61" s="30"/>
      <c r="L61" s="30"/>
      <c r="M61" s="30"/>
      <c r="N61" s="30"/>
      <c r="O61" s="30"/>
      <c r="P61" s="30"/>
      <c r="Q61" s="30"/>
      <c r="R61" s="30"/>
      <c r="S61" s="30"/>
      <c r="T61" s="30"/>
      <c r="U61" s="30"/>
      <c r="V61" s="30"/>
      <c r="W61" s="30"/>
      <c r="X61" s="30"/>
      <c r="Y61" s="30"/>
    </row>
    <row r="62" spans="1:25" ht="15.75" customHeight="1" x14ac:dyDescent="0.2">
      <c r="A62" s="29"/>
      <c r="B62" s="30"/>
      <c r="C62" s="30"/>
      <c r="D62" s="30"/>
      <c r="E62" s="30"/>
      <c r="F62" s="30"/>
      <c r="G62" s="30"/>
      <c r="H62" s="30"/>
      <c r="I62" s="30"/>
      <c r="J62" s="30"/>
      <c r="K62" s="30"/>
      <c r="L62" s="30"/>
      <c r="M62" s="30"/>
      <c r="N62" s="30"/>
      <c r="O62" s="30"/>
      <c r="P62" s="30"/>
      <c r="Q62" s="30"/>
      <c r="R62" s="30"/>
      <c r="S62" s="30"/>
      <c r="T62" s="30"/>
      <c r="U62" s="30"/>
      <c r="V62" s="30"/>
      <c r="W62" s="30"/>
      <c r="X62" s="30"/>
      <c r="Y62" s="30"/>
    </row>
    <row r="63" spans="1:25" ht="15.75" customHeight="1" x14ac:dyDescent="0.2">
      <c r="A63" s="29"/>
      <c r="B63" s="30"/>
      <c r="C63" s="30"/>
      <c r="D63" s="30"/>
      <c r="E63" s="30"/>
      <c r="F63" s="30"/>
      <c r="G63" s="30"/>
      <c r="H63" s="30"/>
      <c r="I63" s="30"/>
      <c r="J63" s="30"/>
      <c r="K63" s="30"/>
      <c r="L63" s="30"/>
      <c r="M63" s="30"/>
      <c r="N63" s="30"/>
      <c r="O63" s="30"/>
      <c r="P63" s="30"/>
      <c r="Q63" s="30"/>
      <c r="R63" s="30"/>
      <c r="S63" s="30"/>
      <c r="T63" s="30"/>
      <c r="U63" s="30"/>
      <c r="V63" s="30"/>
      <c r="W63" s="30"/>
      <c r="X63" s="30"/>
      <c r="Y63" s="30"/>
    </row>
    <row r="64" spans="1:25" ht="15.75" customHeight="1" x14ac:dyDescent="0.2">
      <c r="A64" s="29"/>
      <c r="B64" s="30"/>
      <c r="C64" s="30"/>
      <c r="D64" s="30"/>
      <c r="E64" s="30"/>
      <c r="F64" s="30"/>
      <c r="G64" s="30"/>
      <c r="H64" s="30"/>
      <c r="I64" s="30"/>
      <c r="J64" s="30"/>
      <c r="K64" s="30"/>
      <c r="L64" s="30"/>
      <c r="M64" s="30"/>
      <c r="N64" s="30"/>
      <c r="O64" s="30"/>
      <c r="P64" s="30"/>
      <c r="Q64" s="30"/>
      <c r="R64" s="30"/>
      <c r="S64" s="30"/>
      <c r="T64" s="30"/>
      <c r="U64" s="30"/>
      <c r="V64" s="30"/>
      <c r="W64" s="30"/>
      <c r="X64" s="30"/>
      <c r="Y64" s="30"/>
    </row>
    <row r="65" spans="1:25" ht="15.75" customHeight="1" x14ac:dyDescent="0.2">
      <c r="A65" s="29"/>
      <c r="B65" s="30"/>
      <c r="C65" s="30"/>
      <c r="D65" s="30"/>
      <c r="E65" s="30"/>
      <c r="F65" s="30"/>
      <c r="G65" s="30"/>
      <c r="H65" s="30"/>
      <c r="I65" s="30"/>
      <c r="J65" s="30"/>
      <c r="K65" s="30"/>
      <c r="L65" s="30"/>
      <c r="M65" s="30"/>
      <c r="N65" s="30"/>
      <c r="O65" s="30"/>
      <c r="P65" s="30"/>
      <c r="Q65" s="30"/>
      <c r="R65" s="30"/>
      <c r="S65" s="30"/>
      <c r="T65" s="30"/>
      <c r="U65" s="30"/>
      <c r="V65" s="30"/>
      <c r="W65" s="30"/>
      <c r="X65" s="30"/>
      <c r="Y65" s="30"/>
    </row>
    <row r="66" spans="1:25" ht="15.75" customHeight="1" x14ac:dyDescent="0.2">
      <c r="A66" s="29"/>
      <c r="B66" s="30"/>
      <c r="C66" s="30"/>
      <c r="D66" s="30"/>
      <c r="E66" s="30"/>
      <c r="F66" s="30"/>
      <c r="G66" s="30"/>
      <c r="H66" s="30"/>
      <c r="I66" s="30"/>
      <c r="J66" s="30"/>
      <c r="K66" s="30"/>
      <c r="L66" s="30"/>
      <c r="M66" s="30"/>
      <c r="N66" s="30"/>
      <c r="O66" s="30"/>
      <c r="P66" s="30"/>
      <c r="Q66" s="30"/>
      <c r="R66" s="30"/>
      <c r="S66" s="30"/>
      <c r="T66" s="30"/>
      <c r="U66" s="30"/>
      <c r="V66" s="30"/>
      <c r="W66" s="30"/>
      <c r="X66" s="30"/>
      <c r="Y66" s="30"/>
    </row>
    <row r="67" spans="1:25" ht="15.75" customHeight="1" x14ac:dyDescent="0.2">
      <c r="A67" s="29"/>
      <c r="B67" s="30"/>
      <c r="C67" s="30"/>
      <c r="D67" s="30"/>
      <c r="E67" s="30"/>
      <c r="F67" s="30"/>
      <c r="G67" s="30"/>
      <c r="H67" s="30"/>
      <c r="I67" s="30"/>
      <c r="J67" s="30"/>
      <c r="K67" s="30"/>
      <c r="L67" s="30"/>
      <c r="M67" s="30"/>
      <c r="N67" s="30"/>
      <c r="O67" s="30"/>
      <c r="P67" s="30"/>
      <c r="Q67" s="30"/>
      <c r="R67" s="30"/>
      <c r="S67" s="30"/>
      <c r="T67" s="30"/>
      <c r="U67" s="30"/>
      <c r="V67" s="30"/>
      <c r="W67" s="30"/>
      <c r="X67" s="30"/>
      <c r="Y67" s="30"/>
    </row>
    <row r="68" spans="1:25" ht="15.75" customHeight="1" x14ac:dyDescent="0.2">
      <c r="A68" s="29"/>
      <c r="B68" s="30"/>
      <c r="C68" s="30"/>
      <c r="D68" s="30"/>
      <c r="E68" s="30"/>
      <c r="F68" s="30"/>
      <c r="G68" s="30"/>
      <c r="H68" s="30"/>
      <c r="I68" s="30"/>
      <c r="J68" s="30"/>
      <c r="K68" s="30"/>
      <c r="L68" s="30"/>
      <c r="M68" s="30"/>
      <c r="N68" s="30"/>
      <c r="O68" s="30"/>
      <c r="P68" s="30"/>
      <c r="Q68" s="30"/>
      <c r="R68" s="30"/>
      <c r="S68" s="30"/>
      <c r="T68" s="30"/>
      <c r="U68" s="30"/>
      <c r="V68" s="30"/>
      <c r="W68" s="30"/>
      <c r="X68" s="30"/>
      <c r="Y68" s="30"/>
    </row>
    <row r="69" spans="1:25" ht="15.75" customHeight="1" x14ac:dyDescent="0.2">
      <c r="A69" s="29"/>
      <c r="B69" s="30"/>
      <c r="C69" s="30"/>
      <c r="D69" s="30"/>
      <c r="E69" s="30"/>
      <c r="F69" s="30"/>
      <c r="G69" s="30"/>
      <c r="H69" s="30"/>
      <c r="I69" s="30"/>
      <c r="J69" s="30"/>
      <c r="K69" s="30"/>
      <c r="L69" s="30"/>
      <c r="M69" s="30"/>
      <c r="N69" s="30"/>
      <c r="O69" s="30"/>
      <c r="P69" s="30"/>
      <c r="Q69" s="30"/>
      <c r="R69" s="30"/>
      <c r="S69" s="30"/>
      <c r="T69" s="30"/>
      <c r="U69" s="30"/>
      <c r="V69" s="30"/>
      <c r="W69" s="30"/>
      <c r="X69" s="30"/>
      <c r="Y69" s="30"/>
    </row>
    <row r="70" spans="1:25" ht="15.75" customHeight="1" x14ac:dyDescent="0.2">
      <c r="A70" s="29"/>
      <c r="B70" s="30"/>
      <c r="C70" s="30"/>
      <c r="D70" s="30"/>
      <c r="E70" s="30"/>
      <c r="F70" s="30"/>
      <c r="G70" s="30"/>
      <c r="H70" s="30"/>
      <c r="I70" s="30"/>
      <c r="J70" s="30"/>
      <c r="K70" s="30"/>
      <c r="L70" s="30"/>
      <c r="M70" s="30"/>
      <c r="N70" s="30"/>
      <c r="O70" s="30"/>
      <c r="P70" s="30"/>
      <c r="Q70" s="30"/>
      <c r="R70" s="30"/>
      <c r="S70" s="30"/>
      <c r="T70" s="30"/>
      <c r="U70" s="30"/>
      <c r="V70" s="30"/>
      <c r="W70" s="30"/>
      <c r="X70" s="30"/>
      <c r="Y70" s="30"/>
    </row>
    <row r="71" spans="1:25" ht="15.75" customHeight="1" x14ac:dyDescent="0.2">
      <c r="A71" s="29"/>
      <c r="B71" s="30"/>
      <c r="C71" s="30"/>
      <c r="D71" s="30"/>
      <c r="E71" s="30"/>
      <c r="F71" s="30"/>
      <c r="G71" s="30"/>
      <c r="H71" s="30"/>
      <c r="I71" s="30"/>
      <c r="J71" s="30"/>
      <c r="K71" s="30"/>
      <c r="L71" s="30"/>
      <c r="M71" s="30"/>
      <c r="N71" s="30"/>
      <c r="O71" s="30"/>
      <c r="P71" s="30"/>
      <c r="Q71" s="30"/>
      <c r="R71" s="30"/>
      <c r="S71" s="30"/>
      <c r="T71" s="30"/>
      <c r="U71" s="30"/>
      <c r="V71" s="30"/>
      <c r="W71" s="30"/>
      <c r="X71" s="30"/>
      <c r="Y71" s="30"/>
    </row>
    <row r="72" spans="1:25" ht="15.75" customHeight="1" x14ac:dyDescent="0.2">
      <c r="A72" s="29"/>
      <c r="B72" s="30"/>
      <c r="C72" s="30"/>
      <c r="D72" s="30"/>
      <c r="E72" s="30"/>
      <c r="F72" s="30"/>
      <c r="G72" s="30"/>
      <c r="H72" s="30"/>
      <c r="I72" s="30"/>
      <c r="J72" s="30"/>
      <c r="K72" s="30"/>
      <c r="L72" s="30"/>
      <c r="M72" s="30"/>
      <c r="N72" s="30"/>
      <c r="O72" s="30"/>
      <c r="P72" s="30"/>
      <c r="Q72" s="30"/>
      <c r="R72" s="30"/>
      <c r="S72" s="30"/>
      <c r="T72" s="30"/>
      <c r="U72" s="30"/>
      <c r="V72" s="30"/>
      <c r="W72" s="30"/>
      <c r="X72" s="30"/>
      <c r="Y72" s="30"/>
    </row>
    <row r="73" spans="1:25" ht="15.75" customHeight="1" x14ac:dyDescent="0.2">
      <c r="A73" s="29"/>
      <c r="B73" s="30"/>
      <c r="C73" s="30"/>
      <c r="D73" s="30"/>
      <c r="E73" s="30"/>
      <c r="F73" s="30"/>
      <c r="G73" s="30"/>
      <c r="H73" s="30"/>
      <c r="I73" s="30"/>
      <c r="J73" s="30"/>
      <c r="K73" s="30"/>
      <c r="L73" s="30"/>
      <c r="M73" s="30"/>
      <c r="N73" s="30"/>
      <c r="O73" s="30"/>
      <c r="P73" s="30"/>
      <c r="Q73" s="30"/>
      <c r="R73" s="30"/>
      <c r="S73" s="30"/>
      <c r="T73" s="30"/>
      <c r="U73" s="30"/>
      <c r="V73" s="30"/>
      <c r="W73" s="30"/>
      <c r="X73" s="30"/>
      <c r="Y73" s="30"/>
    </row>
    <row r="74" spans="1:25" ht="15.75" customHeight="1" x14ac:dyDescent="0.2">
      <c r="A74" s="29"/>
      <c r="B74" s="30"/>
      <c r="C74" s="30"/>
      <c r="D74" s="30"/>
      <c r="E74" s="30"/>
      <c r="F74" s="30"/>
      <c r="G74" s="30"/>
      <c r="H74" s="30"/>
      <c r="I74" s="30"/>
      <c r="J74" s="30"/>
      <c r="K74" s="30"/>
      <c r="L74" s="30"/>
      <c r="M74" s="30"/>
      <c r="N74" s="30"/>
      <c r="O74" s="30"/>
      <c r="P74" s="30"/>
      <c r="Q74" s="30"/>
      <c r="R74" s="30"/>
      <c r="S74" s="30"/>
      <c r="T74" s="30"/>
      <c r="U74" s="30"/>
      <c r="V74" s="30"/>
      <c r="W74" s="30"/>
      <c r="X74" s="30"/>
      <c r="Y74" s="30"/>
    </row>
    <row r="75" spans="1:25" ht="15.75" customHeight="1" x14ac:dyDescent="0.2">
      <c r="A75" s="29"/>
      <c r="B75" s="30"/>
      <c r="C75" s="30"/>
      <c r="D75" s="30"/>
      <c r="E75" s="30"/>
      <c r="F75" s="30"/>
      <c r="G75" s="30"/>
      <c r="H75" s="30"/>
      <c r="I75" s="30"/>
      <c r="J75" s="30"/>
      <c r="K75" s="30"/>
      <c r="L75" s="30"/>
      <c r="M75" s="30"/>
      <c r="N75" s="30"/>
      <c r="O75" s="30"/>
      <c r="P75" s="30"/>
      <c r="Q75" s="30"/>
      <c r="R75" s="30"/>
      <c r="S75" s="30"/>
      <c r="T75" s="30"/>
      <c r="U75" s="30"/>
      <c r="V75" s="30"/>
      <c r="W75" s="30"/>
      <c r="X75" s="30"/>
      <c r="Y75" s="30"/>
    </row>
    <row r="76" spans="1:25" ht="15.75" customHeight="1" x14ac:dyDescent="0.2">
      <c r="A76" s="29"/>
      <c r="B76" s="30"/>
      <c r="C76" s="30"/>
      <c r="D76" s="30"/>
      <c r="E76" s="30"/>
      <c r="F76" s="30"/>
      <c r="G76" s="30"/>
      <c r="H76" s="30"/>
      <c r="I76" s="30"/>
      <c r="J76" s="30"/>
      <c r="K76" s="30"/>
      <c r="L76" s="30"/>
      <c r="M76" s="30"/>
      <c r="N76" s="30"/>
      <c r="O76" s="30"/>
      <c r="P76" s="30"/>
      <c r="Q76" s="30"/>
      <c r="R76" s="30"/>
      <c r="S76" s="30"/>
      <c r="T76" s="30"/>
      <c r="U76" s="30"/>
      <c r="V76" s="30"/>
      <c r="W76" s="30"/>
      <c r="X76" s="30"/>
      <c r="Y76" s="30"/>
    </row>
    <row r="77" spans="1:25" ht="15.75" customHeight="1" x14ac:dyDescent="0.2">
      <c r="A77" s="29"/>
      <c r="B77" s="30"/>
      <c r="C77" s="30"/>
      <c r="D77" s="30"/>
      <c r="E77" s="30"/>
      <c r="F77" s="30"/>
      <c r="G77" s="30"/>
      <c r="H77" s="30"/>
      <c r="I77" s="30"/>
      <c r="J77" s="30"/>
      <c r="K77" s="30"/>
      <c r="L77" s="30"/>
      <c r="M77" s="30"/>
      <c r="N77" s="30"/>
      <c r="O77" s="30"/>
      <c r="P77" s="30"/>
      <c r="Q77" s="30"/>
      <c r="R77" s="30"/>
      <c r="S77" s="30"/>
      <c r="T77" s="30"/>
      <c r="U77" s="30"/>
      <c r="V77" s="30"/>
      <c r="W77" s="30"/>
      <c r="X77" s="30"/>
      <c r="Y77" s="30"/>
    </row>
    <row r="78" spans="1:25" ht="15.75" customHeight="1" x14ac:dyDescent="0.2">
      <c r="A78" s="29"/>
      <c r="B78" s="30"/>
      <c r="C78" s="30"/>
      <c r="D78" s="30"/>
      <c r="E78" s="30"/>
      <c r="F78" s="30"/>
      <c r="G78" s="30"/>
      <c r="H78" s="30"/>
      <c r="I78" s="30"/>
      <c r="J78" s="30"/>
      <c r="K78" s="30"/>
      <c r="L78" s="30"/>
      <c r="M78" s="30"/>
      <c r="N78" s="30"/>
      <c r="O78" s="30"/>
      <c r="P78" s="30"/>
      <c r="Q78" s="30"/>
      <c r="R78" s="30"/>
      <c r="S78" s="30"/>
      <c r="T78" s="30"/>
      <c r="U78" s="30"/>
      <c r="V78" s="30"/>
      <c r="W78" s="30"/>
      <c r="X78" s="30"/>
      <c r="Y78" s="30"/>
    </row>
    <row r="79" spans="1:25" ht="15.75" customHeight="1" x14ac:dyDescent="0.2">
      <c r="A79" s="29"/>
      <c r="B79" s="30"/>
      <c r="C79" s="30"/>
      <c r="D79" s="30"/>
      <c r="E79" s="30"/>
      <c r="F79" s="30"/>
      <c r="G79" s="30"/>
      <c r="H79" s="30"/>
      <c r="I79" s="30"/>
      <c r="J79" s="30"/>
      <c r="K79" s="30"/>
      <c r="L79" s="30"/>
      <c r="M79" s="30"/>
      <c r="N79" s="30"/>
      <c r="O79" s="30"/>
      <c r="P79" s="30"/>
      <c r="Q79" s="30"/>
      <c r="R79" s="30"/>
      <c r="S79" s="30"/>
      <c r="T79" s="30"/>
      <c r="U79" s="30"/>
      <c r="V79" s="30"/>
      <c r="W79" s="30"/>
      <c r="X79" s="30"/>
      <c r="Y79" s="30"/>
    </row>
    <row r="80" spans="1:25" ht="15.75" customHeight="1" x14ac:dyDescent="0.2">
      <c r="A80" s="29"/>
      <c r="B80" s="30"/>
      <c r="C80" s="30"/>
      <c r="D80" s="30"/>
      <c r="E80" s="30"/>
      <c r="F80" s="30"/>
      <c r="G80" s="30"/>
      <c r="H80" s="30"/>
      <c r="I80" s="30"/>
      <c r="J80" s="30"/>
      <c r="K80" s="30"/>
      <c r="L80" s="30"/>
      <c r="M80" s="30"/>
      <c r="N80" s="30"/>
      <c r="O80" s="30"/>
      <c r="P80" s="30"/>
      <c r="Q80" s="30"/>
      <c r="R80" s="30"/>
      <c r="S80" s="30"/>
      <c r="T80" s="30"/>
      <c r="U80" s="30"/>
      <c r="V80" s="30"/>
      <c r="W80" s="30"/>
      <c r="X80" s="30"/>
      <c r="Y80" s="30"/>
    </row>
    <row r="81" spans="1:25" ht="15.75" customHeight="1" x14ac:dyDescent="0.2">
      <c r="A81" s="29"/>
      <c r="B81" s="30"/>
      <c r="C81" s="30"/>
      <c r="D81" s="30"/>
      <c r="E81" s="30"/>
      <c r="F81" s="30"/>
      <c r="G81" s="30"/>
      <c r="H81" s="30"/>
      <c r="I81" s="30"/>
      <c r="J81" s="30"/>
      <c r="K81" s="30"/>
      <c r="L81" s="30"/>
      <c r="M81" s="30"/>
      <c r="N81" s="30"/>
      <c r="O81" s="30"/>
      <c r="P81" s="30"/>
      <c r="Q81" s="30"/>
      <c r="R81" s="30"/>
      <c r="S81" s="30"/>
      <c r="T81" s="30"/>
      <c r="U81" s="30"/>
      <c r="V81" s="30"/>
      <c r="W81" s="30"/>
      <c r="X81" s="30"/>
      <c r="Y81" s="30"/>
    </row>
    <row r="82" spans="1:25" ht="15.75" customHeight="1" x14ac:dyDescent="0.2">
      <c r="A82" s="29"/>
      <c r="B82" s="30"/>
      <c r="C82" s="30"/>
      <c r="D82" s="30"/>
      <c r="E82" s="30"/>
      <c r="F82" s="30"/>
      <c r="G82" s="30"/>
      <c r="H82" s="30"/>
      <c r="I82" s="30"/>
      <c r="J82" s="30"/>
      <c r="K82" s="30"/>
      <c r="L82" s="30"/>
      <c r="M82" s="30"/>
      <c r="N82" s="30"/>
      <c r="O82" s="30"/>
      <c r="P82" s="30"/>
      <c r="Q82" s="30"/>
      <c r="R82" s="30"/>
      <c r="S82" s="30"/>
      <c r="T82" s="30"/>
      <c r="U82" s="30"/>
      <c r="V82" s="30"/>
      <c r="W82" s="30"/>
      <c r="X82" s="30"/>
      <c r="Y82" s="30"/>
    </row>
    <row r="83" spans="1:25" ht="15.75" customHeight="1" x14ac:dyDescent="0.2">
      <c r="A83" s="29"/>
      <c r="B83" s="30"/>
      <c r="C83" s="30"/>
      <c r="D83" s="30"/>
      <c r="E83" s="30"/>
      <c r="F83" s="30"/>
      <c r="G83" s="30"/>
      <c r="H83" s="30"/>
      <c r="I83" s="30"/>
      <c r="J83" s="30"/>
      <c r="K83" s="30"/>
      <c r="L83" s="30"/>
      <c r="M83" s="30"/>
      <c r="N83" s="30"/>
      <c r="O83" s="30"/>
      <c r="P83" s="30"/>
      <c r="Q83" s="30"/>
      <c r="R83" s="30"/>
      <c r="S83" s="30"/>
      <c r="T83" s="30"/>
      <c r="U83" s="30"/>
      <c r="V83" s="30"/>
      <c r="W83" s="30"/>
      <c r="X83" s="30"/>
      <c r="Y83" s="30"/>
    </row>
    <row r="84" spans="1:25" ht="15.75" customHeight="1" x14ac:dyDescent="0.2">
      <c r="A84" s="29"/>
      <c r="B84" s="30"/>
      <c r="C84" s="30"/>
      <c r="D84" s="30"/>
      <c r="E84" s="30"/>
      <c r="F84" s="30"/>
      <c r="G84" s="30"/>
      <c r="H84" s="30"/>
      <c r="I84" s="30"/>
      <c r="J84" s="30"/>
      <c r="K84" s="30"/>
      <c r="L84" s="30"/>
      <c r="M84" s="30"/>
      <c r="N84" s="30"/>
      <c r="O84" s="30"/>
      <c r="P84" s="30"/>
      <c r="Q84" s="30"/>
      <c r="R84" s="30"/>
      <c r="S84" s="30"/>
      <c r="T84" s="30"/>
      <c r="U84" s="30"/>
      <c r="V84" s="30"/>
      <c r="W84" s="30"/>
      <c r="X84" s="30"/>
      <c r="Y84" s="30"/>
    </row>
    <row r="85" spans="1:25" ht="15.75" customHeight="1" x14ac:dyDescent="0.2">
      <c r="A85" s="29"/>
      <c r="B85" s="30"/>
      <c r="C85" s="30"/>
      <c r="D85" s="30"/>
      <c r="E85" s="30"/>
      <c r="F85" s="30"/>
      <c r="G85" s="30"/>
      <c r="H85" s="30"/>
      <c r="I85" s="30"/>
      <c r="J85" s="30"/>
      <c r="K85" s="30"/>
      <c r="L85" s="30"/>
      <c r="M85" s="30"/>
      <c r="N85" s="30"/>
      <c r="O85" s="30"/>
      <c r="P85" s="30"/>
      <c r="Q85" s="30"/>
      <c r="R85" s="30"/>
      <c r="S85" s="30"/>
      <c r="T85" s="30"/>
      <c r="U85" s="30"/>
      <c r="V85" s="30"/>
      <c r="W85" s="30"/>
      <c r="X85" s="30"/>
      <c r="Y85" s="30"/>
    </row>
    <row r="86" spans="1:25" ht="15.75" customHeight="1" x14ac:dyDescent="0.2">
      <c r="A86" s="29"/>
      <c r="B86" s="30"/>
      <c r="C86" s="30"/>
      <c r="D86" s="30"/>
      <c r="E86" s="30"/>
      <c r="F86" s="30"/>
      <c r="G86" s="30"/>
      <c r="H86" s="30"/>
      <c r="I86" s="30"/>
      <c r="J86" s="30"/>
      <c r="K86" s="30"/>
      <c r="L86" s="30"/>
      <c r="M86" s="30"/>
      <c r="N86" s="30"/>
      <c r="O86" s="30"/>
      <c r="P86" s="30"/>
      <c r="Q86" s="30"/>
      <c r="R86" s="30"/>
      <c r="S86" s="30"/>
      <c r="T86" s="30"/>
      <c r="U86" s="30"/>
      <c r="V86" s="30"/>
      <c r="W86" s="30"/>
      <c r="X86" s="30"/>
      <c r="Y86" s="30"/>
    </row>
    <row r="87" spans="1:25" ht="15.75" customHeight="1" x14ac:dyDescent="0.2">
      <c r="A87" s="29"/>
      <c r="B87" s="30"/>
      <c r="C87" s="30"/>
      <c r="D87" s="30"/>
      <c r="E87" s="30"/>
      <c r="F87" s="30"/>
      <c r="G87" s="30"/>
      <c r="H87" s="30"/>
      <c r="I87" s="30"/>
      <c r="J87" s="30"/>
      <c r="K87" s="30"/>
      <c r="L87" s="30"/>
      <c r="M87" s="30"/>
      <c r="N87" s="30"/>
      <c r="O87" s="30"/>
      <c r="P87" s="30"/>
      <c r="Q87" s="30"/>
      <c r="R87" s="30"/>
      <c r="S87" s="30"/>
      <c r="T87" s="30"/>
      <c r="U87" s="30"/>
      <c r="V87" s="30"/>
      <c r="W87" s="30"/>
      <c r="X87" s="30"/>
      <c r="Y87" s="30"/>
    </row>
    <row r="88" spans="1:25" ht="15.75" customHeight="1" x14ac:dyDescent="0.2">
      <c r="A88" s="29"/>
      <c r="B88" s="30"/>
      <c r="C88" s="30"/>
      <c r="D88" s="30"/>
      <c r="E88" s="30"/>
      <c r="F88" s="30"/>
      <c r="G88" s="30"/>
      <c r="H88" s="30"/>
      <c r="I88" s="30"/>
      <c r="J88" s="30"/>
      <c r="K88" s="30"/>
      <c r="L88" s="30"/>
      <c r="M88" s="30"/>
      <c r="N88" s="30"/>
      <c r="O88" s="30"/>
      <c r="P88" s="30"/>
      <c r="Q88" s="30"/>
      <c r="R88" s="30"/>
      <c r="S88" s="30"/>
      <c r="T88" s="30"/>
      <c r="U88" s="30"/>
      <c r="V88" s="30"/>
      <c r="W88" s="30"/>
      <c r="X88" s="30"/>
      <c r="Y88" s="30"/>
    </row>
    <row r="89" spans="1:25" ht="15.75" customHeight="1" x14ac:dyDescent="0.2">
      <c r="A89" s="29"/>
      <c r="B89" s="30"/>
      <c r="C89" s="30"/>
      <c r="D89" s="30"/>
      <c r="E89" s="30"/>
      <c r="F89" s="30"/>
      <c r="G89" s="30"/>
      <c r="H89" s="30"/>
      <c r="I89" s="30"/>
      <c r="J89" s="30"/>
      <c r="K89" s="30"/>
      <c r="L89" s="30"/>
      <c r="M89" s="30"/>
      <c r="N89" s="30"/>
      <c r="O89" s="30"/>
      <c r="P89" s="30"/>
      <c r="Q89" s="30"/>
      <c r="R89" s="30"/>
      <c r="S89" s="30"/>
      <c r="T89" s="30"/>
      <c r="U89" s="30"/>
      <c r="V89" s="30"/>
      <c r="W89" s="30"/>
      <c r="X89" s="30"/>
      <c r="Y89" s="30"/>
    </row>
    <row r="90" spans="1:25" ht="15.75" customHeight="1" x14ac:dyDescent="0.2">
      <c r="A90" s="29"/>
      <c r="B90" s="30"/>
      <c r="C90" s="30"/>
      <c r="D90" s="30"/>
      <c r="E90" s="30"/>
      <c r="F90" s="30"/>
      <c r="G90" s="30"/>
      <c r="H90" s="30"/>
      <c r="I90" s="30"/>
      <c r="J90" s="30"/>
      <c r="K90" s="30"/>
      <c r="L90" s="30"/>
      <c r="M90" s="30"/>
      <c r="N90" s="30"/>
      <c r="O90" s="30"/>
      <c r="P90" s="30"/>
      <c r="Q90" s="30"/>
      <c r="R90" s="30"/>
      <c r="S90" s="30"/>
      <c r="T90" s="30"/>
      <c r="U90" s="30"/>
      <c r="V90" s="30"/>
      <c r="W90" s="30"/>
      <c r="X90" s="30"/>
      <c r="Y90" s="30"/>
    </row>
    <row r="91" spans="1:25" ht="15.75" customHeight="1" x14ac:dyDescent="0.2">
      <c r="A91" s="29"/>
      <c r="B91" s="30"/>
      <c r="C91" s="30"/>
      <c r="D91" s="30"/>
      <c r="E91" s="30"/>
      <c r="F91" s="30"/>
      <c r="G91" s="30"/>
      <c r="H91" s="30"/>
      <c r="I91" s="30"/>
      <c r="J91" s="30"/>
      <c r="K91" s="30"/>
      <c r="L91" s="30"/>
      <c r="M91" s="30"/>
      <c r="N91" s="30"/>
      <c r="O91" s="30"/>
      <c r="P91" s="30"/>
      <c r="Q91" s="30"/>
      <c r="R91" s="30"/>
      <c r="S91" s="30"/>
      <c r="T91" s="30"/>
      <c r="U91" s="30"/>
      <c r="V91" s="30"/>
      <c r="W91" s="30"/>
      <c r="X91" s="30"/>
      <c r="Y91" s="30"/>
    </row>
    <row r="92" spans="1:25" ht="15.75" customHeight="1" x14ac:dyDescent="0.2">
      <c r="A92" s="29"/>
      <c r="B92" s="30"/>
      <c r="C92" s="30"/>
      <c r="D92" s="30"/>
      <c r="E92" s="30"/>
      <c r="F92" s="30"/>
      <c r="G92" s="30"/>
      <c r="H92" s="30"/>
      <c r="I92" s="30"/>
      <c r="J92" s="30"/>
      <c r="K92" s="30"/>
      <c r="L92" s="30"/>
      <c r="M92" s="30"/>
      <c r="N92" s="30"/>
      <c r="O92" s="30"/>
      <c r="P92" s="30"/>
      <c r="Q92" s="30"/>
      <c r="R92" s="30"/>
      <c r="S92" s="30"/>
      <c r="T92" s="30"/>
      <c r="U92" s="30"/>
      <c r="V92" s="30"/>
      <c r="W92" s="30"/>
      <c r="X92" s="30"/>
      <c r="Y92" s="30"/>
    </row>
    <row r="93" spans="1:25" ht="15.75" customHeight="1" x14ac:dyDescent="0.2">
      <c r="A93" s="29"/>
      <c r="B93" s="30"/>
      <c r="C93" s="30"/>
      <c r="D93" s="30"/>
      <c r="E93" s="30"/>
      <c r="F93" s="30"/>
      <c r="G93" s="30"/>
      <c r="H93" s="30"/>
      <c r="I93" s="30"/>
      <c r="J93" s="30"/>
      <c r="K93" s="30"/>
      <c r="L93" s="30"/>
      <c r="M93" s="30"/>
      <c r="N93" s="30"/>
      <c r="O93" s="30"/>
      <c r="P93" s="30"/>
      <c r="Q93" s="30"/>
      <c r="R93" s="30"/>
      <c r="S93" s="30"/>
      <c r="T93" s="30"/>
      <c r="U93" s="30"/>
      <c r="V93" s="30"/>
      <c r="W93" s="30"/>
      <c r="X93" s="30"/>
      <c r="Y93" s="30"/>
    </row>
    <row r="94" spans="1:25" ht="15.75" customHeight="1" x14ac:dyDescent="0.2">
      <c r="A94" s="29"/>
      <c r="B94" s="30"/>
      <c r="C94" s="30"/>
      <c r="D94" s="30"/>
      <c r="E94" s="30"/>
      <c r="F94" s="30"/>
      <c r="G94" s="30"/>
      <c r="H94" s="30"/>
      <c r="I94" s="30"/>
      <c r="J94" s="30"/>
      <c r="K94" s="30"/>
      <c r="L94" s="30"/>
      <c r="M94" s="30"/>
      <c r="N94" s="30"/>
      <c r="O94" s="30"/>
      <c r="P94" s="30"/>
      <c r="Q94" s="30"/>
      <c r="R94" s="30"/>
      <c r="S94" s="30"/>
      <c r="T94" s="30"/>
      <c r="U94" s="30"/>
      <c r="V94" s="30"/>
      <c r="W94" s="30"/>
      <c r="X94" s="30"/>
      <c r="Y94" s="30"/>
    </row>
    <row r="95" spans="1:25" ht="15.75" customHeight="1" x14ac:dyDescent="0.2">
      <c r="A95" s="29"/>
      <c r="B95" s="30"/>
      <c r="C95" s="30"/>
      <c r="D95" s="30"/>
      <c r="E95" s="30"/>
      <c r="F95" s="30"/>
      <c r="G95" s="30"/>
      <c r="H95" s="30"/>
      <c r="I95" s="30"/>
      <c r="J95" s="30"/>
      <c r="K95" s="30"/>
      <c r="L95" s="30"/>
      <c r="M95" s="30"/>
      <c r="N95" s="30"/>
      <c r="O95" s="30"/>
      <c r="P95" s="30"/>
      <c r="Q95" s="30"/>
      <c r="R95" s="30"/>
      <c r="S95" s="30"/>
      <c r="T95" s="30"/>
      <c r="U95" s="30"/>
      <c r="V95" s="30"/>
      <c r="W95" s="30"/>
      <c r="X95" s="30"/>
      <c r="Y95" s="30"/>
    </row>
    <row r="96" spans="1:25" ht="15.75" customHeight="1" x14ac:dyDescent="0.2">
      <c r="A96" s="29"/>
      <c r="B96" s="30"/>
      <c r="C96" s="30"/>
      <c r="D96" s="30"/>
      <c r="E96" s="30"/>
      <c r="F96" s="30"/>
      <c r="G96" s="30"/>
      <c r="H96" s="30"/>
      <c r="I96" s="30"/>
      <c r="J96" s="30"/>
      <c r="K96" s="30"/>
      <c r="L96" s="30"/>
      <c r="M96" s="30"/>
      <c r="N96" s="30"/>
      <c r="O96" s="30"/>
      <c r="P96" s="30"/>
      <c r="Q96" s="30"/>
      <c r="R96" s="30"/>
      <c r="S96" s="30"/>
      <c r="T96" s="30"/>
      <c r="U96" s="30"/>
      <c r="V96" s="30"/>
      <c r="W96" s="30"/>
      <c r="X96" s="30"/>
      <c r="Y96" s="30"/>
    </row>
    <row r="97" spans="1:25" ht="15.75" customHeight="1" x14ac:dyDescent="0.2">
      <c r="A97" s="29"/>
      <c r="B97" s="30"/>
      <c r="C97" s="30"/>
      <c r="D97" s="30"/>
      <c r="E97" s="30"/>
      <c r="F97" s="30"/>
      <c r="G97" s="30"/>
      <c r="H97" s="30"/>
      <c r="I97" s="30"/>
      <c r="J97" s="30"/>
      <c r="K97" s="30"/>
      <c r="L97" s="30"/>
      <c r="M97" s="30"/>
      <c r="N97" s="30"/>
      <c r="O97" s="30"/>
      <c r="P97" s="30"/>
      <c r="Q97" s="30"/>
      <c r="R97" s="30"/>
      <c r="S97" s="30"/>
      <c r="T97" s="30"/>
      <c r="U97" s="30"/>
      <c r="V97" s="30"/>
      <c r="W97" s="30"/>
      <c r="X97" s="30"/>
      <c r="Y97" s="30"/>
    </row>
    <row r="98" spans="1:25" ht="15.75" customHeight="1" x14ac:dyDescent="0.2">
      <c r="A98" s="29"/>
      <c r="B98" s="30"/>
      <c r="C98" s="30"/>
      <c r="D98" s="30"/>
      <c r="E98" s="30"/>
      <c r="F98" s="30"/>
      <c r="G98" s="30"/>
      <c r="H98" s="30"/>
      <c r="I98" s="30"/>
      <c r="J98" s="30"/>
      <c r="K98" s="30"/>
      <c r="L98" s="30"/>
      <c r="M98" s="30"/>
      <c r="N98" s="30"/>
      <c r="O98" s="30"/>
      <c r="P98" s="30"/>
      <c r="Q98" s="30"/>
      <c r="R98" s="30"/>
      <c r="S98" s="30"/>
      <c r="T98" s="30"/>
      <c r="U98" s="30"/>
      <c r="V98" s="30"/>
      <c r="W98" s="30"/>
      <c r="X98" s="30"/>
      <c r="Y98" s="30"/>
    </row>
    <row r="99" spans="1:25" ht="15.75" customHeight="1" x14ac:dyDescent="0.2">
      <c r="A99" s="29"/>
      <c r="B99" s="30"/>
      <c r="C99" s="30"/>
      <c r="D99" s="30"/>
      <c r="E99" s="30"/>
      <c r="F99" s="30"/>
      <c r="G99" s="30"/>
      <c r="H99" s="30"/>
      <c r="I99" s="30"/>
      <c r="J99" s="30"/>
      <c r="K99" s="30"/>
      <c r="L99" s="30"/>
      <c r="M99" s="30"/>
      <c r="N99" s="30"/>
      <c r="O99" s="30"/>
      <c r="P99" s="30"/>
      <c r="Q99" s="30"/>
      <c r="R99" s="30"/>
      <c r="S99" s="30"/>
      <c r="T99" s="30"/>
      <c r="U99" s="30"/>
      <c r="V99" s="30"/>
      <c r="W99" s="30"/>
      <c r="X99" s="30"/>
      <c r="Y99" s="30"/>
    </row>
    <row r="100" spans="1:25" ht="15.75" customHeight="1" x14ac:dyDescent="0.2">
      <c r="A100" s="29"/>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row>
    <row r="101" spans="1:25" ht="15.75" customHeight="1" x14ac:dyDescent="0.2">
      <c r="A101" s="29"/>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row>
    <row r="102" spans="1:25" ht="15.75" customHeight="1" x14ac:dyDescent="0.2">
      <c r="A102" s="29"/>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row>
    <row r="103" spans="1:25" ht="15.75" customHeight="1" x14ac:dyDescent="0.2">
      <c r="A103" s="29"/>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row>
    <row r="104" spans="1:25" ht="15.75" customHeight="1" x14ac:dyDescent="0.2">
      <c r="A104" s="29"/>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row>
    <row r="105" spans="1:25" ht="15.75" customHeight="1" x14ac:dyDescent="0.2">
      <c r="A105" s="29"/>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row>
    <row r="106" spans="1:25" ht="15.75" customHeight="1" x14ac:dyDescent="0.2">
      <c r="A106" s="29"/>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row>
    <row r="107" spans="1:25" ht="15.75" customHeight="1" x14ac:dyDescent="0.2">
      <c r="A107" s="29"/>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row>
    <row r="108" spans="1:25" ht="15.75" customHeight="1" x14ac:dyDescent="0.2">
      <c r="A108" s="29"/>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row>
    <row r="109" spans="1:25" ht="15.75" customHeight="1" x14ac:dyDescent="0.2">
      <c r="A109" s="29"/>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row>
    <row r="110" spans="1:25" ht="15.75" customHeight="1" x14ac:dyDescent="0.2">
      <c r="A110" s="29"/>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row>
    <row r="111" spans="1:25" ht="15.75" customHeight="1" x14ac:dyDescent="0.2">
      <c r="A111" s="29"/>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row>
    <row r="112" spans="1:25" ht="15.75" customHeight="1" x14ac:dyDescent="0.2">
      <c r="A112" s="29"/>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row>
    <row r="113" spans="1:25" ht="15.75" customHeight="1" x14ac:dyDescent="0.2">
      <c r="A113" s="29"/>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row>
    <row r="114" spans="1:25" ht="15.75" customHeight="1" x14ac:dyDescent="0.2">
      <c r="A114" s="29"/>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row>
    <row r="115" spans="1:25" ht="15.75" customHeight="1" x14ac:dyDescent="0.2">
      <c r="A115" s="29"/>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row>
    <row r="116" spans="1:25" ht="15.75" customHeight="1" x14ac:dyDescent="0.2">
      <c r="A116" s="29"/>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row>
    <row r="117" spans="1:25" ht="15.75" customHeight="1" x14ac:dyDescent="0.2">
      <c r="A117" s="29"/>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row>
    <row r="118" spans="1:25" ht="15.75" customHeight="1" x14ac:dyDescent="0.2">
      <c r="A118" s="29"/>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row>
    <row r="119" spans="1:25" ht="15.75" customHeight="1" x14ac:dyDescent="0.2">
      <c r="A119" s="29"/>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row>
    <row r="120" spans="1:25" ht="15.75" customHeight="1" x14ac:dyDescent="0.2">
      <c r="A120" s="29"/>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row>
    <row r="121" spans="1:25" ht="15.75" customHeight="1" x14ac:dyDescent="0.2">
      <c r="A121" s="29"/>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row>
    <row r="122" spans="1:25" ht="15.75" customHeight="1" x14ac:dyDescent="0.2">
      <c r="A122" s="29"/>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row>
    <row r="123" spans="1:25" ht="15.75" customHeight="1" x14ac:dyDescent="0.2">
      <c r="A123" s="29"/>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row>
    <row r="124" spans="1:25" ht="15.75" customHeight="1" x14ac:dyDescent="0.2">
      <c r="A124" s="29"/>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row>
    <row r="125" spans="1:25" ht="15.75" customHeight="1" x14ac:dyDescent="0.2">
      <c r="A125" s="29"/>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row>
    <row r="126" spans="1:25" ht="15.75" customHeight="1" x14ac:dyDescent="0.2">
      <c r="A126" s="29"/>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row>
    <row r="127" spans="1:25" ht="15.75" customHeight="1" x14ac:dyDescent="0.2">
      <c r="A127" s="29"/>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row>
    <row r="128" spans="1:25" ht="15.75" customHeight="1" x14ac:dyDescent="0.2">
      <c r="A128" s="29"/>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row>
    <row r="129" spans="1:25" ht="15.75" customHeight="1" x14ac:dyDescent="0.2">
      <c r="A129" s="29"/>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row>
    <row r="130" spans="1:25" ht="15.75" customHeight="1" x14ac:dyDescent="0.2">
      <c r="A130" s="29"/>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row>
    <row r="131" spans="1:25" ht="15.75" customHeight="1" x14ac:dyDescent="0.2">
      <c r="A131" s="29"/>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row>
    <row r="132" spans="1:25" ht="15.75" customHeight="1" x14ac:dyDescent="0.2">
      <c r="A132" s="29"/>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row>
    <row r="133" spans="1:25" ht="15.75" customHeight="1" x14ac:dyDescent="0.2">
      <c r="A133" s="29"/>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row>
    <row r="134" spans="1:25" ht="15.75" customHeight="1" x14ac:dyDescent="0.2">
      <c r="A134" s="29"/>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row>
    <row r="135" spans="1:25" ht="15.75" customHeight="1" x14ac:dyDescent="0.2">
      <c r="A135" s="29"/>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row>
    <row r="136" spans="1:25" ht="15.75" customHeight="1" x14ac:dyDescent="0.2">
      <c r="A136" s="29"/>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row>
    <row r="137" spans="1:25" ht="15.75" customHeight="1" x14ac:dyDescent="0.2">
      <c r="A137" s="29"/>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row>
    <row r="138" spans="1:25" ht="15.75" customHeight="1" x14ac:dyDescent="0.2">
      <c r="A138" s="29"/>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row>
    <row r="139" spans="1:25" ht="15.75" customHeight="1" x14ac:dyDescent="0.2">
      <c r="A139" s="29"/>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row>
    <row r="140" spans="1:25" ht="15.75" customHeight="1" x14ac:dyDescent="0.2">
      <c r="A140" s="29"/>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row>
    <row r="141" spans="1:25" ht="15.75" customHeight="1" x14ac:dyDescent="0.2">
      <c r="A141" s="29"/>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row>
    <row r="142" spans="1:25" ht="15.75" customHeight="1" x14ac:dyDescent="0.2">
      <c r="A142" s="29"/>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row>
    <row r="143" spans="1:25" ht="15.75" customHeight="1" x14ac:dyDescent="0.2">
      <c r="A143" s="29"/>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row>
    <row r="144" spans="1:25" ht="15.75" customHeight="1" x14ac:dyDescent="0.2">
      <c r="A144" s="29"/>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row>
    <row r="145" spans="1:25" ht="15.75" customHeight="1" x14ac:dyDescent="0.2">
      <c r="A145" s="29"/>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row>
    <row r="146" spans="1:25" ht="15.75" customHeight="1" x14ac:dyDescent="0.2">
      <c r="A146" s="29"/>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row>
    <row r="147" spans="1:25" ht="15.75" customHeight="1" x14ac:dyDescent="0.2">
      <c r="A147" s="29"/>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row>
    <row r="148" spans="1:25" ht="15.75" customHeight="1" x14ac:dyDescent="0.2">
      <c r="A148" s="29"/>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row>
    <row r="149" spans="1:25" ht="15.75" customHeight="1" x14ac:dyDescent="0.2">
      <c r="A149" s="29"/>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row>
    <row r="150" spans="1:25" ht="15.75" customHeight="1" x14ac:dyDescent="0.2">
      <c r="A150" s="29"/>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row>
    <row r="151" spans="1:25" ht="15.75" customHeight="1" x14ac:dyDescent="0.2">
      <c r="A151" s="29"/>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row>
    <row r="152" spans="1:25" ht="15.75" customHeight="1" x14ac:dyDescent="0.2">
      <c r="A152" s="29"/>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row>
    <row r="153" spans="1:25" ht="15.75" customHeight="1" x14ac:dyDescent="0.2">
      <c r="A153" s="29"/>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row>
    <row r="154" spans="1:25" ht="15.75" customHeight="1" x14ac:dyDescent="0.2">
      <c r="A154" s="29"/>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row>
    <row r="155" spans="1:25" ht="15.75" customHeight="1" x14ac:dyDescent="0.2">
      <c r="A155" s="29"/>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row>
    <row r="156" spans="1:25" ht="15.75" customHeight="1" x14ac:dyDescent="0.2">
      <c r="A156" s="29"/>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row>
    <row r="157" spans="1:25" ht="15.75" customHeight="1" x14ac:dyDescent="0.2">
      <c r="A157" s="29"/>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row>
    <row r="158" spans="1:25" ht="15.75" customHeight="1" x14ac:dyDescent="0.2">
      <c r="A158" s="29"/>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row>
    <row r="159" spans="1:25" ht="15.75" customHeight="1" x14ac:dyDescent="0.2">
      <c r="A159" s="29"/>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row>
    <row r="160" spans="1:25" ht="15.75" customHeight="1" x14ac:dyDescent="0.2">
      <c r="A160" s="29"/>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row>
    <row r="161" spans="1:25" ht="15.75" customHeight="1" x14ac:dyDescent="0.2">
      <c r="A161" s="29"/>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row>
    <row r="162" spans="1:25" ht="15.75" customHeight="1" x14ac:dyDescent="0.2">
      <c r="A162" s="29"/>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row>
    <row r="163" spans="1:25" ht="15.75" customHeight="1" x14ac:dyDescent="0.2">
      <c r="A163" s="29"/>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row>
    <row r="164" spans="1:25" ht="15.75" customHeight="1" x14ac:dyDescent="0.2">
      <c r="A164" s="29"/>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row>
    <row r="165" spans="1:25" ht="15.75" customHeight="1" x14ac:dyDescent="0.2">
      <c r="A165" s="29"/>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row>
    <row r="166" spans="1:25" ht="15.75" customHeight="1" x14ac:dyDescent="0.2">
      <c r="A166" s="29"/>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row>
    <row r="167" spans="1:25" ht="15.75" customHeight="1" x14ac:dyDescent="0.2">
      <c r="A167" s="29"/>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row>
    <row r="168" spans="1:25" ht="15.75" customHeight="1" x14ac:dyDescent="0.2">
      <c r="A168" s="29"/>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row>
    <row r="169" spans="1:25" ht="15.75" customHeight="1" x14ac:dyDescent="0.2">
      <c r="A169" s="29"/>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row>
    <row r="170" spans="1:25" ht="15.75" customHeight="1" x14ac:dyDescent="0.2">
      <c r="A170" s="29"/>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row>
    <row r="171" spans="1:25" ht="15.75" customHeight="1" x14ac:dyDescent="0.2">
      <c r="A171" s="29"/>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row>
    <row r="172" spans="1:25" ht="15.75" customHeight="1" x14ac:dyDescent="0.2">
      <c r="A172" s="29"/>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row>
    <row r="173" spans="1:25" ht="15.75" customHeight="1" x14ac:dyDescent="0.2">
      <c r="A173" s="29"/>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row>
    <row r="174" spans="1:25" ht="15.75" customHeight="1" x14ac:dyDescent="0.2">
      <c r="A174" s="29"/>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row>
    <row r="175" spans="1:25" ht="15.75" customHeight="1" x14ac:dyDescent="0.2">
      <c r="A175" s="29"/>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row>
    <row r="176" spans="1:25" ht="15.75" customHeight="1" x14ac:dyDescent="0.2">
      <c r="A176" s="29"/>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row>
    <row r="177" spans="1:25" ht="15.75" customHeight="1" x14ac:dyDescent="0.2">
      <c r="A177" s="29"/>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row>
    <row r="178" spans="1:25" ht="15.75" customHeight="1" x14ac:dyDescent="0.2">
      <c r="A178" s="29"/>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row>
    <row r="179" spans="1:25" ht="15.75" customHeight="1" x14ac:dyDescent="0.2">
      <c r="A179" s="29"/>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row>
    <row r="180" spans="1:25" ht="15.75" customHeight="1" x14ac:dyDescent="0.2">
      <c r="A180" s="29"/>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row>
    <row r="181" spans="1:25" ht="15.75" customHeight="1" x14ac:dyDescent="0.2">
      <c r="A181" s="29"/>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row>
    <row r="182" spans="1:25" ht="15.75" customHeight="1" x14ac:dyDescent="0.2">
      <c r="A182" s="29"/>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row>
    <row r="183" spans="1:25" ht="15.75" customHeight="1" x14ac:dyDescent="0.2">
      <c r="A183" s="29"/>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row>
    <row r="184" spans="1:25" ht="15.75" customHeight="1" x14ac:dyDescent="0.2">
      <c r="A184" s="29"/>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row>
    <row r="185" spans="1:25" ht="15.75" customHeight="1" x14ac:dyDescent="0.2">
      <c r="A185" s="29"/>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row>
    <row r="186" spans="1:25" ht="15.75" customHeight="1" x14ac:dyDescent="0.2">
      <c r="A186" s="29"/>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row>
    <row r="187" spans="1:25" ht="15.75" customHeight="1" x14ac:dyDescent="0.2">
      <c r="A187" s="29"/>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row>
    <row r="188" spans="1:25" ht="15.75" customHeight="1" x14ac:dyDescent="0.2">
      <c r="A188" s="29"/>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row>
    <row r="189" spans="1:25" ht="15.75" customHeight="1" x14ac:dyDescent="0.2">
      <c r="A189" s="29"/>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row>
    <row r="190" spans="1:25" ht="15.75" customHeight="1" x14ac:dyDescent="0.2">
      <c r="A190" s="29"/>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row>
    <row r="191" spans="1:25" ht="15.75" customHeight="1" x14ac:dyDescent="0.2">
      <c r="A191" s="29"/>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row>
    <row r="192" spans="1:25" ht="15.75" customHeight="1" x14ac:dyDescent="0.2">
      <c r="A192" s="29"/>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row>
    <row r="193" spans="1:25" ht="15.75" customHeight="1" x14ac:dyDescent="0.2">
      <c r="A193" s="29"/>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row>
    <row r="194" spans="1:25" ht="15.75" customHeight="1" x14ac:dyDescent="0.2">
      <c r="A194" s="29"/>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row>
    <row r="195" spans="1:25" ht="15.75" customHeight="1" x14ac:dyDescent="0.2">
      <c r="A195" s="29"/>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row>
    <row r="196" spans="1:25" ht="15.75" customHeight="1" x14ac:dyDescent="0.2">
      <c r="A196" s="29"/>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row>
    <row r="197" spans="1:25" ht="15.75" customHeight="1" x14ac:dyDescent="0.2">
      <c r="A197" s="29"/>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row>
    <row r="198" spans="1:25" ht="15.75" customHeight="1" x14ac:dyDescent="0.2">
      <c r="A198" s="29"/>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row>
    <row r="199" spans="1:25" ht="15.75" customHeight="1" x14ac:dyDescent="0.2">
      <c r="A199" s="29"/>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row>
    <row r="200" spans="1:25" ht="15.75" customHeight="1" x14ac:dyDescent="0.2">
      <c r="A200" s="29"/>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row>
    <row r="201" spans="1:25" ht="15.75" customHeight="1" x14ac:dyDescent="0.2">
      <c r="A201" s="29"/>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row>
    <row r="202" spans="1:25" ht="15.75" customHeight="1" x14ac:dyDescent="0.2">
      <c r="A202" s="29"/>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row>
    <row r="203" spans="1:25" ht="15.75" customHeight="1" x14ac:dyDescent="0.2">
      <c r="A203" s="29"/>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row>
    <row r="204" spans="1:25" ht="15.75" customHeight="1" x14ac:dyDescent="0.2">
      <c r="A204" s="29"/>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row>
    <row r="205" spans="1:25" ht="15.75" customHeight="1" x14ac:dyDescent="0.2">
      <c r="A205" s="29"/>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row>
    <row r="206" spans="1:25" ht="15.75" customHeight="1" x14ac:dyDescent="0.2">
      <c r="A206" s="29"/>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row>
    <row r="207" spans="1:25" ht="15.75" customHeight="1" x14ac:dyDescent="0.2">
      <c r="A207" s="29"/>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row>
    <row r="208" spans="1:25" ht="15.75" customHeight="1" x14ac:dyDescent="0.2">
      <c r="A208" s="29"/>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row>
    <row r="209" spans="1:25" ht="15.75" customHeight="1" x14ac:dyDescent="0.2">
      <c r="A209" s="29"/>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row>
    <row r="210" spans="1:25" ht="15.75" customHeight="1" x14ac:dyDescent="0.2">
      <c r="A210" s="29"/>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row>
    <row r="211" spans="1:25" ht="15.75" customHeight="1" x14ac:dyDescent="0.2">
      <c r="A211" s="29"/>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row>
    <row r="212" spans="1:25" ht="15.75" customHeight="1" x14ac:dyDescent="0.2">
      <c r="A212" s="29"/>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row>
    <row r="213" spans="1:25" ht="15.75" customHeight="1" x14ac:dyDescent="0.2">
      <c r="A213" s="29"/>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row>
    <row r="214" spans="1:25" ht="15.75" customHeight="1" x14ac:dyDescent="0.2">
      <c r="A214" s="29"/>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row>
    <row r="215" spans="1:25" ht="15.75" customHeight="1" x14ac:dyDescent="0.2">
      <c r="A215" s="29"/>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row>
    <row r="216" spans="1:25" ht="15.75" customHeight="1" x14ac:dyDescent="0.2">
      <c r="A216" s="29"/>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row>
    <row r="217" spans="1:25" ht="15.75" customHeight="1" x14ac:dyDescent="0.2">
      <c r="A217" s="29"/>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row>
    <row r="218" spans="1:25" ht="15.75" customHeight="1" x14ac:dyDescent="0.2">
      <c r="A218" s="29"/>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row>
    <row r="219" spans="1:25" ht="15.75" customHeight="1" x14ac:dyDescent="0.2">
      <c r="A219" s="29"/>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row>
    <row r="220" spans="1:25" ht="15.75" customHeight="1" x14ac:dyDescent="0.2">
      <c r="A220" s="29"/>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row>
    <row r="221" spans="1:25" ht="15.75" customHeight="1" x14ac:dyDescent="0.2">
      <c r="A221" s="29"/>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row>
    <row r="222" spans="1:25" ht="15.75" customHeight="1" x14ac:dyDescent="0.2">
      <c r="A222" s="29"/>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row>
    <row r="223" spans="1:25" ht="15.75" customHeight="1" x14ac:dyDescent="0.2">
      <c r="A223" s="29"/>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row>
    <row r="224" spans="1:25" ht="15.75" customHeight="1" x14ac:dyDescent="0.2">
      <c r="A224" s="29"/>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row>
    <row r="225" spans="1:25" ht="15.75" customHeight="1" x14ac:dyDescent="0.2">
      <c r="A225" s="29"/>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row>
    <row r="226" spans="1:25" ht="15.75" customHeight="1" x14ac:dyDescent="0.2">
      <c r="A226" s="29"/>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row>
    <row r="227" spans="1:25" ht="15.75" customHeight="1" x14ac:dyDescent="0.2">
      <c r="A227" s="29"/>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row>
    <row r="228" spans="1:25" ht="15.75" customHeight="1" x14ac:dyDescent="0.2">
      <c r="A228" s="29"/>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row>
    <row r="229" spans="1:25" ht="15.75" customHeight="1" x14ac:dyDescent="0.2">
      <c r="A229" s="29"/>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row>
    <row r="230" spans="1:25" ht="15.75" customHeight="1" x14ac:dyDescent="0.2">
      <c r="A230" s="29"/>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row>
    <row r="231" spans="1:25" ht="15.75" customHeight="1" x14ac:dyDescent="0.2">
      <c r="A231" s="29"/>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row>
    <row r="232" spans="1:25" ht="15.75" customHeight="1" x14ac:dyDescent="0.2">
      <c r="A232" s="29"/>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row>
    <row r="233" spans="1:25" ht="15.75" customHeight="1" x14ac:dyDescent="0.2">
      <c r="A233" s="29"/>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row>
    <row r="234" spans="1:25" ht="15.75" customHeight="1" x14ac:dyDescent="0.2">
      <c r="A234" s="29"/>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row>
    <row r="235" spans="1:25" ht="15.75" customHeight="1" x14ac:dyDescent="0.2">
      <c r="A235" s="29"/>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row>
    <row r="236" spans="1:25" ht="15.75" customHeight="1" x14ac:dyDescent="0.2">
      <c r="A236" s="29"/>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row>
    <row r="237" spans="1:25" ht="15.75" customHeight="1" x14ac:dyDescent="0.2">
      <c r="A237" s="29"/>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row>
    <row r="238" spans="1:25" ht="15.75" customHeight="1" x14ac:dyDescent="0.2">
      <c r="A238" s="29"/>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row>
    <row r="239" spans="1:25" ht="15.75" customHeight="1" x14ac:dyDescent="0.2">
      <c r="A239" s="29"/>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row>
    <row r="240" spans="1:25" ht="15.75" customHeight="1" x14ac:dyDescent="0.2">
      <c r="A240" s="29"/>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row>
    <row r="241" spans="1:25" ht="15.75" customHeight="1" x14ac:dyDescent="0.2">
      <c r="A241" s="29"/>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row>
    <row r="242" spans="1:25" ht="15.75" customHeight="1" x14ac:dyDescent="0.2">
      <c r="A242" s="29"/>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row>
    <row r="243" spans="1:25" ht="15.75" customHeight="1" x14ac:dyDescent="0.2">
      <c r="A243" s="29"/>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row>
    <row r="244" spans="1:25" ht="15.75" customHeight="1" x14ac:dyDescent="0.2">
      <c r="A244" s="29"/>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row>
    <row r="245" spans="1:25" ht="15.75" customHeight="1" x14ac:dyDescent="0.2">
      <c r="A245" s="29"/>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row>
    <row r="246" spans="1:25" ht="15.75" customHeight="1" x14ac:dyDescent="0.2">
      <c r="A246" s="29"/>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row>
    <row r="247" spans="1:25" ht="15.75" customHeight="1" x14ac:dyDescent="0.2">
      <c r="A247" s="29"/>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row>
    <row r="248" spans="1:25" ht="15.75" customHeight="1" x14ac:dyDescent="0.2">
      <c r="A248" s="29"/>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row>
    <row r="249" spans="1:25" ht="15.75" customHeight="1" x14ac:dyDescent="0.2">
      <c r="A249" s="29"/>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row>
    <row r="250" spans="1:25" ht="15.75" customHeight="1" x14ac:dyDescent="0.2">
      <c r="A250" s="29"/>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row>
    <row r="251" spans="1:25" ht="15.75" customHeight="1" x14ac:dyDescent="0.2">
      <c r="A251" s="29"/>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row>
    <row r="252" spans="1:25" ht="15.75" customHeight="1" x14ac:dyDescent="0.2">
      <c r="A252" s="29"/>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row>
    <row r="253" spans="1:25" ht="15.75" customHeight="1" x14ac:dyDescent="0.2">
      <c r="A253" s="29"/>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row>
    <row r="254" spans="1:25" ht="15.75" customHeight="1" x14ac:dyDescent="0.2">
      <c r="A254" s="29"/>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row>
    <row r="255" spans="1:25" ht="15.75" customHeight="1" x14ac:dyDescent="0.2">
      <c r="A255" s="29"/>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row>
    <row r="256" spans="1:25" ht="15.75" customHeight="1" x14ac:dyDescent="0.2">
      <c r="A256" s="29"/>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row>
    <row r="257" spans="1:25" ht="15.75" customHeight="1" x14ac:dyDescent="0.2">
      <c r="A257" s="29"/>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row>
    <row r="258" spans="1:25" ht="15.75" customHeight="1" x14ac:dyDescent="0.2">
      <c r="A258" s="29"/>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row>
    <row r="259" spans="1:25" ht="15.75" customHeight="1" x14ac:dyDescent="0.2">
      <c r="A259" s="29"/>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row>
    <row r="260" spans="1:25" ht="15.75" customHeight="1" x14ac:dyDescent="0.2">
      <c r="A260" s="29"/>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row>
    <row r="261" spans="1:25" ht="15.75" customHeight="1" x14ac:dyDescent="0.2">
      <c r="A261" s="29"/>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row>
    <row r="262" spans="1:25" ht="15.75" customHeight="1" x14ac:dyDescent="0.2">
      <c r="A262" s="29"/>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row>
    <row r="263" spans="1:25" ht="15.75" customHeight="1" x14ac:dyDescent="0.2">
      <c r="A263" s="29"/>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row>
    <row r="264" spans="1:25" ht="15.75" customHeight="1" x14ac:dyDescent="0.2">
      <c r="A264" s="29"/>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row>
    <row r="265" spans="1:25" ht="15.75" customHeight="1" x14ac:dyDescent="0.2">
      <c r="A265" s="29"/>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row>
    <row r="266" spans="1:25" ht="15.75" customHeight="1" x14ac:dyDescent="0.2">
      <c r="A266" s="29"/>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row>
    <row r="267" spans="1:25" ht="15.75" customHeight="1" x14ac:dyDescent="0.2">
      <c r="A267" s="29"/>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row>
    <row r="268" spans="1:25" ht="15.75" customHeight="1" x14ac:dyDescent="0.2">
      <c r="A268" s="29"/>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row>
    <row r="269" spans="1:25" ht="15.75" customHeight="1" x14ac:dyDescent="0.2">
      <c r="A269" s="29"/>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row>
    <row r="270" spans="1:25" ht="15.75" customHeight="1" x14ac:dyDescent="0.2">
      <c r="A270" s="29"/>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row>
    <row r="271" spans="1:25" ht="15.75" customHeight="1" x14ac:dyDescent="0.2">
      <c r="A271" s="29"/>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row>
    <row r="272" spans="1:25" ht="15.75" customHeight="1" x14ac:dyDescent="0.2">
      <c r="A272" s="29"/>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row>
    <row r="273" spans="1:25" ht="15.75" customHeight="1" x14ac:dyDescent="0.2">
      <c r="A273" s="29"/>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row>
    <row r="274" spans="1:25" ht="15.75" customHeight="1" x14ac:dyDescent="0.2">
      <c r="A274" s="29"/>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row>
    <row r="275" spans="1:25" ht="15.75" customHeight="1" x14ac:dyDescent="0.2">
      <c r="A275" s="29"/>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row>
    <row r="276" spans="1:25" ht="15.75" customHeight="1" x14ac:dyDescent="0.2">
      <c r="A276" s="29"/>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row>
    <row r="277" spans="1:25" ht="15.75" customHeight="1" x14ac:dyDescent="0.2">
      <c r="A277" s="29"/>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row>
    <row r="278" spans="1:25" ht="15.75" customHeight="1" x14ac:dyDescent="0.2">
      <c r="A278" s="29"/>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row>
    <row r="279" spans="1:25" ht="15.75" customHeight="1" x14ac:dyDescent="0.2">
      <c r="A279" s="29"/>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row>
    <row r="280" spans="1:25" ht="15.75" customHeight="1" x14ac:dyDescent="0.2">
      <c r="A280" s="29"/>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row>
    <row r="281" spans="1:25" ht="15.75" customHeight="1" x14ac:dyDescent="0.2">
      <c r="A281" s="29"/>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row>
    <row r="282" spans="1:25" ht="15.75" customHeight="1" x14ac:dyDescent="0.2">
      <c r="A282" s="29"/>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row>
    <row r="283" spans="1:25" ht="15.75" customHeight="1" x14ac:dyDescent="0.2">
      <c r="A283" s="29"/>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row>
    <row r="284" spans="1:25" ht="15.75" customHeight="1" x14ac:dyDescent="0.2">
      <c r="A284" s="29"/>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row>
    <row r="285" spans="1:25" ht="15.75" customHeight="1" x14ac:dyDescent="0.2">
      <c r="A285" s="29"/>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row>
    <row r="286" spans="1:25" ht="15.75" customHeight="1" x14ac:dyDescent="0.2">
      <c r="A286" s="29"/>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row>
    <row r="287" spans="1:25" ht="15.75" customHeight="1" x14ac:dyDescent="0.2">
      <c r="A287" s="29"/>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row>
    <row r="288" spans="1:25" ht="15.75" customHeight="1" x14ac:dyDescent="0.2">
      <c r="A288" s="29"/>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row>
    <row r="289" spans="1:25" ht="15.75" customHeight="1" x14ac:dyDescent="0.2">
      <c r="A289" s="29"/>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row>
    <row r="290" spans="1:25" ht="15.75" customHeight="1" x14ac:dyDescent="0.2">
      <c r="A290" s="29"/>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row>
    <row r="291" spans="1:25" ht="15.75" customHeight="1" x14ac:dyDescent="0.2">
      <c r="A291" s="29"/>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row>
    <row r="292" spans="1:25" ht="15.75" customHeight="1" x14ac:dyDescent="0.2">
      <c r="A292" s="29"/>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row>
    <row r="293" spans="1:25" ht="15.75" customHeight="1" x14ac:dyDescent="0.2">
      <c r="A293" s="29"/>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row>
    <row r="294" spans="1:25" ht="15.75" customHeight="1" x14ac:dyDescent="0.2">
      <c r="A294" s="29"/>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row>
    <row r="295" spans="1:25" ht="15.75" customHeight="1" x14ac:dyDescent="0.2">
      <c r="A295" s="29"/>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row>
    <row r="296" spans="1:25" ht="15.75" customHeight="1" x14ac:dyDescent="0.2">
      <c r="A296" s="29"/>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row>
    <row r="297" spans="1:25" ht="15.75" customHeight="1" x14ac:dyDescent="0.2">
      <c r="A297" s="29"/>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row>
    <row r="298" spans="1:25" ht="15.75" customHeight="1" x14ac:dyDescent="0.2">
      <c r="A298" s="29"/>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row>
    <row r="299" spans="1:25" ht="15.75" customHeight="1" x14ac:dyDescent="0.2">
      <c r="A299" s="29"/>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row>
    <row r="300" spans="1:25" ht="15.75" customHeight="1" x14ac:dyDescent="0.2">
      <c r="A300" s="29"/>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row>
    <row r="301" spans="1:25" ht="15.75" customHeight="1" x14ac:dyDescent="0.2">
      <c r="A301" s="29"/>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row>
    <row r="302" spans="1:25" ht="15.75" customHeight="1" x14ac:dyDescent="0.2">
      <c r="A302" s="29"/>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row>
    <row r="303" spans="1:25" ht="15.75" customHeight="1" x14ac:dyDescent="0.2">
      <c r="A303" s="29"/>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row>
    <row r="304" spans="1:25" ht="15.75" customHeight="1" x14ac:dyDescent="0.2">
      <c r="A304" s="29"/>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row>
    <row r="305" spans="1:25" ht="15.75" customHeight="1" x14ac:dyDescent="0.2">
      <c r="A305" s="29"/>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row>
    <row r="306" spans="1:25" ht="15.75" customHeight="1" x14ac:dyDescent="0.2">
      <c r="A306" s="29"/>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row>
    <row r="307" spans="1:25" ht="15.75" customHeight="1" x14ac:dyDescent="0.2">
      <c r="A307" s="29"/>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row>
    <row r="308" spans="1:25" ht="15.75" customHeight="1" x14ac:dyDescent="0.2">
      <c r="A308" s="29"/>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row>
    <row r="309" spans="1:25" ht="15.75" customHeight="1" x14ac:dyDescent="0.2">
      <c r="A309" s="29"/>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row>
    <row r="310" spans="1:25" ht="15.75" customHeight="1" x14ac:dyDescent="0.2">
      <c r="A310" s="29"/>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row>
    <row r="311" spans="1:25" ht="15.75" customHeight="1" x14ac:dyDescent="0.2">
      <c r="A311" s="29"/>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row>
    <row r="312" spans="1:25" ht="15.75" customHeight="1" x14ac:dyDescent="0.2">
      <c r="A312" s="29"/>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row>
    <row r="313" spans="1:25" ht="15.75" customHeight="1" x14ac:dyDescent="0.2">
      <c r="A313" s="29"/>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row>
    <row r="314" spans="1:25" ht="15.75" customHeight="1" x14ac:dyDescent="0.2">
      <c r="A314" s="29"/>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row>
    <row r="315" spans="1:25" ht="15.75" customHeight="1" x14ac:dyDescent="0.2">
      <c r="A315" s="29"/>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row>
    <row r="316" spans="1:25" ht="15.75" customHeight="1" x14ac:dyDescent="0.2">
      <c r="A316" s="29"/>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row>
    <row r="317" spans="1:25" ht="15.75" customHeight="1" x14ac:dyDescent="0.2">
      <c r="A317" s="29"/>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row>
    <row r="318" spans="1:25" ht="15.75" customHeight="1" x14ac:dyDescent="0.2">
      <c r="A318" s="29"/>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row>
    <row r="319" spans="1:25" ht="15.75" customHeight="1" x14ac:dyDescent="0.2">
      <c r="A319" s="29"/>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row>
    <row r="320" spans="1:25" ht="15.75" customHeight="1" x14ac:dyDescent="0.2">
      <c r="A320" s="29"/>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row>
    <row r="321" spans="1:25" ht="15.75" customHeight="1" x14ac:dyDescent="0.2">
      <c r="A321" s="29"/>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row>
    <row r="322" spans="1:25" ht="15.75" customHeight="1" x14ac:dyDescent="0.2">
      <c r="A322" s="29"/>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row>
    <row r="323" spans="1:25" ht="15.75" customHeight="1" x14ac:dyDescent="0.2">
      <c r="A323" s="29"/>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row>
    <row r="324" spans="1:25" ht="15.75" customHeight="1" x14ac:dyDescent="0.2">
      <c r="A324" s="29"/>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row>
    <row r="325" spans="1:25" ht="15.75" customHeight="1" x14ac:dyDescent="0.2">
      <c r="A325" s="29"/>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row>
    <row r="326" spans="1:25" ht="15.75" customHeight="1" x14ac:dyDescent="0.2">
      <c r="A326" s="29"/>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row>
    <row r="327" spans="1:25" ht="15.75" customHeight="1" x14ac:dyDescent="0.2">
      <c r="A327" s="29"/>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row>
    <row r="328" spans="1:25" ht="15.75" customHeight="1" x14ac:dyDescent="0.2">
      <c r="A328" s="29"/>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row>
    <row r="329" spans="1:25" ht="15.75" customHeight="1" x14ac:dyDescent="0.2">
      <c r="A329" s="29"/>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row>
    <row r="330" spans="1:25" ht="15.75" customHeight="1" x14ac:dyDescent="0.2">
      <c r="A330" s="29"/>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row>
    <row r="331" spans="1:25" ht="15.75" customHeight="1" x14ac:dyDescent="0.2">
      <c r="A331" s="29"/>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row>
    <row r="332" spans="1:25" ht="15.75" customHeight="1" x14ac:dyDescent="0.2">
      <c r="A332" s="29"/>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row>
    <row r="333" spans="1:25" ht="15.75" customHeight="1" x14ac:dyDescent="0.2">
      <c r="A333" s="29"/>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row>
    <row r="334" spans="1:25" ht="15.75" customHeight="1" x14ac:dyDescent="0.2">
      <c r="A334" s="29"/>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row>
    <row r="335" spans="1:25" ht="15.75" customHeight="1" x14ac:dyDescent="0.2">
      <c r="A335" s="29"/>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row>
    <row r="336" spans="1:25" ht="15.75" customHeight="1" x14ac:dyDescent="0.2">
      <c r="A336" s="29"/>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row>
    <row r="337" spans="1:25" ht="15.75" customHeight="1" x14ac:dyDescent="0.2">
      <c r="A337" s="29"/>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row>
    <row r="338" spans="1:25" ht="15.75" customHeight="1" x14ac:dyDescent="0.2">
      <c r="A338" s="29"/>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row>
    <row r="339" spans="1:25" ht="15.75" customHeight="1" x14ac:dyDescent="0.2">
      <c r="A339" s="29"/>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row>
    <row r="340" spans="1:25" ht="15.75" customHeight="1" x14ac:dyDescent="0.2">
      <c r="A340" s="29"/>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row>
    <row r="341" spans="1:25" ht="15.75" customHeight="1" x14ac:dyDescent="0.2">
      <c r="A341" s="29"/>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row>
    <row r="342" spans="1:25" ht="15.75" customHeight="1" x14ac:dyDescent="0.2">
      <c r="A342" s="29"/>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row>
    <row r="343" spans="1:25" ht="15.75" customHeight="1" x14ac:dyDescent="0.2">
      <c r="A343" s="29"/>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row>
    <row r="344" spans="1:25" ht="15.75" customHeight="1" x14ac:dyDescent="0.2">
      <c r="A344" s="29"/>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row>
    <row r="345" spans="1:25" ht="15.75" customHeight="1" x14ac:dyDescent="0.2">
      <c r="A345" s="29"/>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row>
    <row r="346" spans="1:25" ht="15.75" customHeight="1" x14ac:dyDescent="0.2">
      <c r="A346" s="29"/>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row>
    <row r="347" spans="1:25" ht="15.75" customHeight="1" x14ac:dyDescent="0.2">
      <c r="A347" s="29"/>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row>
    <row r="348" spans="1:25" ht="15.75" customHeight="1" x14ac:dyDescent="0.2">
      <c r="A348" s="29"/>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row>
    <row r="349" spans="1:25" ht="15.75" customHeight="1" x14ac:dyDescent="0.2">
      <c r="A349" s="29"/>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row>
    <row r="350" spans="1:25" ht="15.75" customHeight="1" x14ac:dyDescent="0.2">
      <c r="A350" s="29"/>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row>
    <row r="351" spans="1:25" ht="15.75" customHeight="1" x14ac:dyDescent="0.2">
      <c r="A351" s="29"/>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row>
    <row r="352" spans="1:25" ht="15.75" customHeight="1" x14ac:dyDescent="0.2">
      <c r="A352" s="29"/>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row>
    <row r="353" spans="1:25" ht="15.75" customHeight="1" x14ac:dyDescent="0.2">
      <c r="A353" s="29"/>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row>
    <row r="354" spans="1:25" ht="15.75" customHeight="1" x14ac:dyDescent="0.2">
      <c r="A354" s="29"/>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row>
    <row r="355" spans="1:25" ht="15.75" customHeight="1" x14ac:dyDescent="0.2">
      <c r="A355" s="29"/>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row>
    <row r="356" spans="1:25" ht="15.75" customHeight="1" x14ac:dyDescent="0.2">
      <c r="A356" s="29"/>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row>
    <row r="357" spans="1:25" ht="15.75" customHeight="1" x14ac:dyDescent="0.2">
      <c r="A357" s="29"/>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row>
    <row r="358" spans="1:25" ht="15.75" customHeight="1" x14ac:dyDescent="0.2">
      <c r="A358" s="29"/>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row>
    <row r="359" spans="1:25" ht="15.75" customHeight="1" x14ac:dyDescent="0.2">
      <c r="A359" s="29"/>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row>
    <row r="360" spans="1:25" ht="15.75" customHeight="1" x14ac:dyDescent="0.2">
      <c r="A360" s="29"/>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row>
    <row r="361" spans="1:25" ht="15.75" customHeight="1" x14ac:dyDescent="0.2">
      <c r="A361" s="29"/>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row>
    <row r="362" spans="1:25" ht="15.75" customHeight="1" x14ac:dyDescent="0.2">
      <c r="A362" s="29"/>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row>
    <row r="363" spans="1:25" ht="15.75" customHeight="1" x14ac:dyDescent="0.2">
      <c r="A363" s="29"/>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row>
    <row r="364" spans="1:25" ht="15.75" customHeight="1" x14ac:dyDescent="0.2">
      <c r="A364" s="29"/>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row>
    <row r="365" spans="1:25" ht="15.75" customHeight="1" x14ac:dyDescent="0.2">
      <c r="A365" s="29"/>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row>
    <row r="366" spans="1:25" ht="15.75" customHeight="1" x14ac:dyDescent="0.2">
      <c r="A366" s="29"/>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row>
    <row r="367" spans="1:25" ht="15.75" customHeight="1" x14ac:dyDescent="0.2">
      <c r="A367" s="29"/>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row>
    <row r="368" spans="1:25" ht="15.75" customHeight="1" x14ac:dyDescent="0.2">
      <c r="A368" s="29"/>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row>
    <row r="369" spans="1:25" ht="15.75" customHeight="1" x14ac:dyDescent="0.2">
      <c r="A369" s="29"/>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row>
    <row r="370" spans="1:25" ht="15.75" customHeight="1" x14ac:dyDescent="0.2">
      <c r="A370" s="29"/>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row>
    <row r="371" spans="1:25" ht="15.75" customHeight="1" x14ac:dyDescent="0.2">
      <c r="A371" s="29"/>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row>
    <row r="372" spans="1:25" ht="15.75" customHeight="1" x14ac:dyDescent="0.2">
      <c r="A372" s="29"/>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row>
    <row r="373" spans="1:25" ht="15.75" customHeight="1" x14ac:dyDescent="0.2">
      <c r="A373" s="29"/>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row>
    <row r="374" spans="1:25" ht="15.75" customHeight="1" x14ac:dyDescent="0.2">
      <c r="A374" s="29"/>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row>
    <row r="375" spans="1:25" ht="15.75" customHeight="1" x14ac:dyDescent="0.2">
      <c r="A375" s="29"/>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row>
    <row r="376" spans="1:25" ht="15.75" customHeight="1" x14ac:dyDescent="0.2">
      <c r="A376" s="29"/>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row>
    <row r="377" spans="1:25" ht="15.75" customHeight="1" x14ac:dyDescent="0.2">
      <c r="A377" s="29"/>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row>
    <row r="378" spans="1:25" ht="15.75" customHeight="1" x14ac:dyDescent="0.2">
      <c r="A378" s="29"/>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row>
    <row r="379" spans="1:25" ht="15.75" customHeight="1" x14ac:dyDescent="0.2">
      <c r="A379" s="29"/>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row>
    <row r="380" spans="1:25" ht="15.75" customHeight="1" x14ac:dyDescent="0.2">
      <c r="A380" s="29"/>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row>
    <row r="381" spans="1:25" ht="15.75" customHeight="1" x14ac:dyDescent="0.2">
      <c r="A381" s="29"/>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row>
    <row r="382" spans="1:25" ht="15.75" customHeight="1" x14ac:dyDescent="0.2">
      <c r="A382" s="29"/>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row>
    <row r="383" spans="1:25" ht="15.75" customHeight="1" x14ac:dyDescent="0.2">
      <c r="A383" s="29"/>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row>
    <row r="384" spans="1:25" ht="15.75" customHeight="1" x14ac:dyDescent="0.2">
      <c r="A384" s="29"/>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row>
    <row r="385" spans="1:25" ht="15.75" customHeight="1" x14ac:dyDescent="0.2">
      <c r="A385" s="29"/>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row>
    <row r="386" spans="1:25" ht="15.75" customHeight="1" x14ac:dyDescent="0.2">
      <c r="A386" s="29"/>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row>
    <row r="387" spans="1:25" ht="15.75" customHeight="1" x14ac:dyDescent="0.2">
      <c r="A387" s="29"/>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row>
    <row r="388" spans="1:25" ht="15.75" customHeight="1" x14ac:dyDescent="0.2">
      <c r="A388" s="29"/>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row>
    <row r="389" spans="1:25" ht="15.75" customHeight="1" x14ac:dyDescent="0.2">
      <c r="A389" s="29"/>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row>
    <row r="390" spans="1:25" ht="15.75" customHeight="1" x14ac:dyDescent="0.2">
      <c r="A390" s="29"/>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row>
    <row r="391" spans="1:25" ht="15.75" customHeight="1" x14ac:dyDescent="0.2">
      <c r="A391" s="29"/>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row>
    <row r="392" spans="1:25" ht="15.75" customHeight="1" x14ac:dyDescent="0.2">
      <c r="A392" s="29"/>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row>
    <row r="393" spans="1:25" ht="15.75" customHeight="1" x14ac:dyDescent="0.2">
      <c r="A393" s="29"/>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row>
    <row r="394" spans="1:25" ht="15.75" customHeight="1" x14ac:dyDescent="0.2">
      <c r="A394" s="29"/>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row>
    <row r="395" spans="1:25" ht="15.75" customHeight="1" x14ac:dyDescent="0.2">
      <c r="A395" s="29"/>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row>
    <row r="396" spans="1:25" ht="15.75" customHeight="1" x14ac:dyDescent="0.2">
      <c r="A396" s="29"/>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row>
    <row r="397" spans="1:25" ht="15.75" customHeight="1" x14ac:dyDescent="0.2">
      <c r="A397" s="29"/>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row>
    <row r="398" spans="1:25" ht="15.75" customHeight="1" x14ac:dyDescent="0.2">
      <c r="A398" s="29"/>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row>
    <row r="399" spans="1:25" ht="15.75" customHeight="1" x14ac:dyDescent="0.2">
      <c r="A399" s="29"/>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row>
    <row r="400" spans="1:25" ht="15.75" customHeight="1" x14ac:dyDescent="0.2">
      <c r="A400" s="29"/>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row>
    <row r="401" spans="1:25" ht="15.75" customHeight="1" x14ac:dyDescent="0.2">
      <c r="A401" s="29"/>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row>
    <row r="402" spans="1:25" ht="15.75" customHeight="1" x14ac:dyDescent="0.2">
      <c r="A402" s="29"/>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row>
    <row r="403" spans="1:25" ht="15.75" customHeight="1" x14ac:dyDescent="0.2">
      <c r="A403" s="29"/>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row>
    <row r="404" spans="1:25" ht="15.75" customHeight="1" x14ac:dyDescent="0.2">
      <c r="A404" s="29"/>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row>
    <row r="405" spans="1:25" ht="15.75" customHeight="1" x14ac:dyDescent="0.2">
      <c r="A405" s="29"/>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row>
    <row r="406" spans="1:25" ht="15.75" customHeight="1" x14ac:dyDescent="0.2">
      <c r="A406" s="29"/>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row>
    <row r="407" spans="1:25" ht="15.75" customHeight="1" x14ac:dyDescent="0.2">
      <c r="A407" s="29"/>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row>
    <row r="408" spans="1:25" ht="15.75" customHeight="1" x14ac:dyDescent="0.2">
      <c r="A408" s="29"/>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row>
    <row r="409" spans="1:25" ht="15.75" customHeight="1" x14ac:dyDescent="0.2">
      <c r="A409" s="29"/>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row>
    <row r="410" spans="1:25" ht="15.75" customHeight="1" x14ac:dyDescent="0.2">
      <c r="A410" s="29"/>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row>
    <row r="411" spans="1:25" ht="15.75" customHeight="1" x14ac:dyDescent="0.2">
      <c r="A411" s="29"/>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row>
    <row r="412" spans="1:25" ht="15.75" customHeight="1" x14ac:dyDescent="0.2">
      <c r="A412" s="29"/>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row>
    <row r="413" spans="1:25" ht="15.75" customHeight="1" x14ac:dyDescent="0.2">
      <c r="A413" s="29"/>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row>
    <row r="414" spans="1:25" ht="15.75" customHeight="1" x14ac:dyDescent="0.2">
      <c r="A414" s="29"/>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row>
    <row r="415" spans="1:25" ht="15.75" customHeight="1" x14ac:dyDescent="0.2">
      <c r="A415" s="29"/>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row>
    <row r="416" spans="1:25" ht="15.75" customHeight="1" x14ac:dyDescent="0.2">
      <c r="A416" s="29"/>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row>
    <row r="417" spans="1:25" ht="15.75" customHeight="1" x14ac:dyDescent="0.2">
      <c r="A417" s="29"/>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row>
    <row r="418" spans="1:25" ht="15.75" customHeight="1" x14ac:dyDescent="0.2">
      <c r="A418" s="29"/>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row>
    <row r="419" spans="1:25" ht="15.75" customHeight="1" x14ac:dyDescent="0.2">
      <c r="A419" s="29"/>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row>
    <row r="420" spans="1:25" ht="15.75" customHeight="1" x14ac:dyDescent="0.2">
      <c r="A420" s="29"/>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row>
    <row r="421" spans="1:25" ht="15.75" customHeight="1" x14ac:dyDescent="0.2">
      <c r="A421" s="29"/>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row>
    <row r="422" spans="1:25" ht="15.75" customHeight="1" x14ac:dyDescent="0.2">
      <c r="A422" s="29"/>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row>
    <row r="423" spans="1:25" ht="15.75" customHeight="1" x14ac:dyDescent="0.2">
      <c r="A423" s="29"/>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row>
    <row r="424" spans="1:25" ht="15.75" customHeight="1" x14ac:dyDescent="0.2">
      <c r="A424" s="29"/>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row>
    <row r="425" spans="1:25" ht="15.75" customHeight="1" x14ac:dyDescent="0.2">
      <c r="A425" s="29"/>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row>
    <row r="426" spans="1:25" ht="15.75" customHeight="1" x14ac:dyDescent="0.2">
      <c r="A426" s="29"/>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row>
    <row r="427" spans="1:25" ht="15.75" customHeight="1" x14ac:dyDescent="0.2">
      <c r="A427" s="29"/>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row>
    <row r="428" spans="1:25" ht="15.75" customHeight="1" x14ac:dyDescent="0.2">
      <c r="A428" s="29"/>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row>
    <row r="429" spans="1:25" ht="15.75" customHeight="1" x14ac:dyDescent="0.2">
      <c r="A429" s="29"/>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row>
    <row r="430" spans="1:25" ht="15.75" customHeight="1" x14ac:dyDescent="0.2">
      <c r="A430" s="29"/>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row>
    <row r="431" spans="1:25" ht="15.75" customHeight="1" x14ac:dyDescent="0.2">
      <c r="A431" s="29"/>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row>
    <row r="432" spans="1:25" ht="15.75" customHeight="1" x14ac:dyDescent="0.2">
      <c r="A432" s="29"/>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row>
    <row r="433" spans="1:25" ht="15.75" customHeight="1" x14ac:dyDescent="0.2">
      <c r="A433" s="29"/>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row>
    <row r="434" spans="1:25" ht="15.75" customHeight="1" x14ac:dyDescent="0.2">
      <c r="A434" s="29"/>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row>
    <row r="435" spans="1:25" ht="15.75" customHeight="1" x14ac:dyDescent="0.2">
      <c r="A435" s="29"/>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row>
    <row r="436" spans="1:25" ht="15.75" customHeight="1" x14ac:dyDescent="0.2">
      <c r="A436" s="29"/>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row>
    <row r="437" spans="1:25" ht="15.75" customHeight="1" x14ac:dyDescent="0.2">
      <c r="A437" s="29"/>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row>
    <row r="438" spans="1:25" ht="15.75" customHeight="1" x14ac:dyDescent="0.2">
      <c r="A438" s="29"/>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row>
    <row r="439" spans="1:25" ht="15.75" customHeight="1" x14ac:dyDescent="0.2">
      <c r="A439" s="29"/>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row>
    <row r="440" spans="1:25" ht="15.75" customHeight="1" x14ac:dyDescent="0.2">
      <c r="A440" s="29"/>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row>
    <row r="441" spans="1:25" ht="15.75" customHeight="1" x14ac:dyDescent="0.2">
      <c r="A441" s="29"/>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row>
    <row r="442" spans="1:25" ht="15.75" customHeight="1" x14ac:dyDescent="0.2">
      <c r="A442" s="29"/>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row>
    <row r="443" spans="1:25" ht="15.75" customHeight="1" x14ac:dyDescent="0.2">
      <c r="A443" s="29"/>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row>
    <row r="444" spans="1:25" ht="15.75" customHeight="1" x14ac:dyDescent="0.2">
      <c r="A444" s="29"/>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row>
    <row r="445" spans="1:25" ht="15.75" customHeight="1" x14ac:dyDescent="0.2">
      <c r="A445" s="29"/>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row>
    <row r="446" spans="1:25" ht="15.75" customHeight="1" x14ac:dyDescent="0.2">
      <c r="A446" s="29"/>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row>
    <row r="447" spans="1:25" ht="15.75" customHeight="1" x14ac:dyDescent="0.2">
      <c r="A447" s="29"/>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row>
    <row r="448" spans="1:25" ht="15.75" customHeight="1" x14ac:dyDescent="0.2">
      <c r="A448" s="29"/>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row>
    <row r="449" spans="1:25" ht="15.75" customHeight="1" x14ac:dyDescent="0.2">
      <c r="A449" s="29"/>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row>
    <row r="450" spans="1:25" ht="15.75" customHeight="1" x14ac:dyDescent="0.2">
      <c r="A450" s="29"/>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row>
    <row r="451" spans="1:25" ht="15.75" customHeight="1" x14ac:dyDescent="0.2">
      <c r="A451" s="29"/>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row>
    <row r="452" spans="1:25" ht="15.75" customHeight="1" x14ac:dyDescent="0.2">
      <c r="A452" s="29"/>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row>
    <row r="453" spans="1:25" ht="15.75" customHeight="1" x14ac:dyDescent="0.2">
      <c r="A453" s="29"/>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row>
    <row r="454" spans="1:25" ht="15.75" customHeight="1" x14ac:dyDescent="0.2">
      <c r="A454" s="29"/>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row>
    <row r="455" spans="1:25" ht="15.75" customHeight="1" x14ac:dyDescent="0.2">
      <c r="A455" s="29"/>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row>
    <row r="456" spans="1:25" ht="15.75" customHeight="1" x14ac:dyDescent="0.2">
      <c r="A456" s="29"/>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row>
    <row r="457" spans="1:25" ht="15.75" customHeight="1" x14ac:dyDescent="0.2">
      <c r="A457" s="29"/>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row>
    <row r="458" spans="1:25" ht="15.75" customHeight="1" x14ac:dyDescent="0.2">
      <c r="A458" s="29"/>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row>
    <row r="459" spans="1:25" ht="15.75" customHeight="1" x14ac:dyDescent="0.2">
      <c r="A459" s="29"/>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row>
    <row r="460" spans="1:25" ht="15.75" customHeight="1" x14ac:dyDescent="0.2">
      <c r="A460" s="29"/>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row>
    <row r="461" spans="1:25" ht="15.75" customHeight="1" x14ac:dyDescent="0.2">
      <c r="A461" s="29"/>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row>
    <row r="462" spans="1:25" ht="15.75" customHeight="1" x14ac:dyDescent="0.2">
      <c r="A462" s="29"/>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row>
    <row r="463" spans="1:25" ht="15.75" customHeight="1" x14ac:dyDescent="0.2">
      <c r="A463" s="29"/>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row>
    <row r="464" spans="1:25" ht="15.75" customHeight="1" x14ac:dyDescent="0.2">
      <c r="A464" s="29"/>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row>
    <row r="465" spans="1:25" ht="15.75" customHeight="1" x14ac:dyDescent="0.2">
      <c r="A465" s="29"/>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row>
    <row r="466" spans="1:25" ht="15.75" customHeight="1" x14ac:dyDescent="0.2">
      <c r="A466" s="29"/>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row>
    <row r="467" spans="1:25" ht="15.75" customHeight="1" x14ac:dyDescent="0.2">
      <c r="A467" s="29"/>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row>
    <row r="468" spans="1:25" ht="15.75" customHeight="1" x14ac:dyDescent="0.2">
      <c r="A468" s="29"/>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row>
    <row r="469" spans="1:25" ht="15.75" customHeight="1" x14ac:dyDescent="0.2">
      <c r="A469" s="29"/>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row>
    <row r="470" spans="1:25" ht="15.75" customHeight="1" x14ac:dyDescent="0.2">
      <c r="A470" s="29"/>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row>
    <row r="471" spans="1:25" ht="15.75" customHeight="1" x14ac:dyDescent="0.2">
      <c r="A471" s="29"/>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row>
    <row r="472" spans="1:25" ht="15.75" customHeight="1" x14ac:dyDescent="0.2">
      <c r="A472" s="29"/>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row>
    <row r="473" spans="1:25" ht="15.75" customHeight="1" x14ac:dyDescent="0.2">
      <c r="A473" s="29"/>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row>
    <row r="474" spans="1:25" ht="15.75" customHeight="1" x14ac:dyDescent="0.2">
      <c r="A474" s="29"/>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row>
    <row r="475" spans="1:25" ht="15.75" customHeight="1" x14ac:dyDescent="0.2">
      <c r="A475" s="29"/>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row>
    <row r="476" spans="1:25" ht="15.75" customHeight="1" x14ac:dyDescent="0.2">
      <c r="A476" s="29"/>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row>
    <row r="477" spans="1:25" ht="15.75" customHeight="1" x14ac:dyDescent="0.2">
      <c r="A477" s="29"/>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row>
    <row r="478" spans="1:25" ht="15.75" customHeight="1" x14ac:dyDescent="0.2">
      <c r="A478" s="29"/>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row>
    <row r="479" spans="1:25" ht="15.75" customHeight="1" x14ac:dyDescent="0.2">
      <c r="A479" s="29"/>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row>
    <row r="480" spans="1:25" ht="15.75" customHeight="1" x14ac:dyDescent="0.2">
      <c r="A480" s="29"/>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row>
    <row r="481" spans="1:25" ht="15.75" customHeight="1" x14ac:dyDescent="0.2">
      <c r="A481" s="29"/>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row>
    <row r="482" spans="1:25" ht="15.75" customHeight="1" x14ac:dyDescent="0.2">
      <c r="A482" s="29"/>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row>
    <row r="483" spans="1:25" ht="15.75" customHeight="1" x14ac:dyDescent="0.2">
      <c r="A483" s="29"/>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row>
    <row r="484" spans="1:25" ht="15.75" customHeight="1" x14ac:dyDescent="0.2">
      <c r="A484" s="29"/>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row>
    <row r="485" spans="1:25" ht="15.75" customHeight="1" x14ac:dyDescent="0.2">
      <c r="A485" s="29"/>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row>
    <row r="486" spans="1:25" ht="15.75" customHeight="1" x14ac:dyDescent="0.2">
      <c r="A486" s="29"/>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row>
    <row r="487" spans="1:25" ht="15.75" customHeight="1" x14ac:dyDescent="0.2">
      <c r="A487" s="29"/>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row>
    <row r="488" spans="1:25" ht="15.75" customHeight="1" x14ac:dyDescent="0.2">
      <c r="A488" s="29"/>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row>
    <row r="489" spans="1:25" ht="15.75" customHeight="1" x14ac:dyDescent="0.2">
      <c r="A489" s="29"/>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row>
    <row r="490" spans="1:25" ht="15.75" customHeight="1" x14ac:dyDescent="0.2">
      <c r="A490" s="29"/>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row>
    <row r="491" spans="1:25" ht="15.75" customHeight="1" x14ac:dyDescent="0.2">
      <c r="A491" s="29"/>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row>
    <row r="492" spans="1:25" ht="15.75" customHeight="1" x14ac:dyDescent="0.2">
      <c r="A492" s="29"/>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row>
    <row r="493" spans="1:25" ht="15.75" customHeight="1" x14ac:dyDescent="0.2">
      <c r="A493" s="29"/>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row>
    <row r="494" spans="1:25" ht="15.75" customHeight="1" x14ac:dyDescent="0.2">
      <c r="A494" s="29"/>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row>
    <row r="495" spans="1:25" ht="15.75" customHeight="1" x14ac:dyDescent="0.2">
      <c r="A495" s="29"/>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row>
    <row r="496" spans="1:25" ht="15.75" customHeight="1" x14ac:dyDescent="0.2">
      <c r="A496" s="29"/>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row>
    <row r="497" spans="1:25" ht="15.75" customHeight="1" x14ac:dyDescent="0.2">
      <c r="A497" s="29"/>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row>
    <row r="498" spans="1:25" ht="15.75" customHeight="1" x14ac:dyDescent="0.2">
      <c r="A498" s="29"/>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row>
    <row r="499" spans="1:25" ht="15.75" customHeight="1" x14ac:dyDescent="0.2">
      <c r="A499" s="29"/>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row>
    <row r="500" spans="1:25" ht="15.75" customHeight="1" x14ac:dyDescent="0.2">
      <c r="A500" s="29"/>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row>
    <row r="501" spans="1:25" ht="15.75" customHeight="1" x14ac:dyDescent="0.2">
      <c r="A501" s="29"/>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row>
    <row r="502" spans="1:25" ht="15.75" customHeight="1" x14ac:dyDescent="0.2">
      <c r="A502" s="29"/>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row>
    <row r="503" spans="1:25" ht="15.75" customHeight="1" x14ac:dyDescent="0.2">
      <c r="A503" s="29"/>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row>
    <row r="504" spans="1:25" ht="15.75" customHeight="1" x14ac:dyDescent="0.2">
      <c r="A504" s="29"/>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row>
    <row r="505" spans="1:25" ht="15.75" customHeight="1" x14ac:dyDescent="0.2">
      <c r="A505" s="29"/>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row>
    <row r="506" spans="1:25" ht="15.75" customHeight="1" x14ac:dyDescent="0.2">
      <c r="A506" s="29"/>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row>
    <row r="507" spans="1:25" ht="15.75" customHeight="1" x14ac:dyDescent="0.2">
      <c r="A507" s="29"/>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row>
    <row r="508" spans="1:25" ht="15.75" customHeight="1" x14ac:dyDescent="0.2">
      <c r="A508" s="29"/>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row>
    <row r="509" spans="1:25" ht="15.75" customHeight="1" x14ac:dyDescent="0.2">
      <c r="A509" s="29"/>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row>
    <row r="510" spans="1:25" ht="15.75" customHeight="1" x14ac:dyDescent="0.2">
      <c r="A510" s="29"/>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row>
    <row r="511" spans="1:25" ht="15.75" customHeight="1" x14ac:dyDescent="0.2">
      <c r="A511" s="29"/>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row>
    <row r="512" spans="1:25" ht="15.75" customHeight="1" x14ac:dyDescent="0.2">
      <c r="A512" s="29"/>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row>
    <row r="513" spans="1:25" ht="15.75" customHeight="1" x14ac:dyDescent="0.2">
      <c r="A513" s="29"/>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row>
    <row r="514" spans="1:25" ht="15.75" customHeight="1" x14ac:dyDescent="0.2">
      <c r="A514" s="29"/>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row>
    <row r="515" spans="1:25" ht="15.75" customHeight="1" x14ac:dyDescent="0.2">
      <c r="A515" s="29"/>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row>
    <row r="516" spans="1:25" ht="15.75" customHeight="1" x14ac:dyDescent="0.2">
      <c r="A516" s="29"/>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row>
    <row r="517" spans="1:25" ht="15.75" customHeight="1" x14ac:dyDescent="0.2">
      <c r="A517" s="29"/>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row>
    <row r="518" spans="1:25" ht="15.75" customHeight="1" x14ac:dyDescent="0.2">
      <c r="A518" s="29"/>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row>
    <row r="519" spans="1:25" ht="15.75" customHeight="1" x14ac:dyDescent="0.2">
      <c r="A519" s="29"/>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row>
    <row r="520" spans="1:25" ht="15.75" customHeight="1" x14ac:dyDescent="0.2">
      <c r="A520" s="29"/>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row>
    <row r="521" spans="1:25" ht="15.75" customHeight="1" x14ac:dyDescent="0.2">
      <c r="A521" s="29"/>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row>
    <row r="522" spans="1:25" ht="15.75" customHeight="1" x14ac:dyDescent="0.2">
      <c r="A522" s="29"/>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row>
    <row r="523" spans="1:25" ht="15.75" customHeight="1" x14ac:dyDescent="0.2">
      <c r="A523" s="29"/>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row>
    <row r="524" spans="1:25" ht="15.75" customHeight="1" x14ac:dyDescent="0.2">
      <c r="A524" s="29"/>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row>
    <row r="525" spans="1:25" ht="15.75" customHeight="1" x14ac:dyDescent="0.2">
      <c r="A525" s="29"/>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row>
    <row r="526" spans="1:25" ht="15.75" customHeight="1" x14ac:dyDescent="0.2">
      <c r="A526" s="29"/>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row>
    <row r="527" spans="1:25" ht="15.75" customHeight="1" x14ac:dyDescent="0.2">
      <c r="A527" s="29"/>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row>
    <row r="528" spans="1:25" ht="15.75" customHeight="1" x14ac:dyDescent="0.2">
      <c r="A528" s="29"/>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row>
    <row r="529" spans="1:25" ht="15.75" customHeight="1" x14ac:dyDescent="0.2">
      <c r="A529" s="29"/>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row>
    <row r="530" spans="1:25" ht="15.75" customHeight="1" x14ac:dyDescent="0.2">
      <c r="A530" s="29"/>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row>
    <row r="531" spans="1:25" ht="15.75" customHeight="1" x14ac:dyDescent="0.2">
      <c r="A531" s="29"/>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row>
    <row r="532" spans="1:25" ht="15.75" customHeight="1" x14ac:dyDescent="0.2">
      <c r="A532" s="29"/>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row>
    <row r="533" spans="1:25" ht="15.75" customHeight="1" x14ac:dyDescent="0.2">
      <c r="A533" s="29"/>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row>
    <row r="534" spans="1:25" ht="15.75" customHeight="1" x14ac:dyDescent="0.2">
      <c r="A534" s="29"/>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row>
    <row r="535" spans="1:25" ht="15.75" customHeight="1" x14ac:dyDescent="0.2">
      <c r="A535" s="29"/>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row>
    <row r="536" spans="1:25" ht="15.75" customHeight="1" x14ac:dyDescent="0.2">
      <c r="A536" s="29"/>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row>
    <row r="537" spans="1:25" ht="15.75" customHeight="1" x14ac:dyDescent="0.2">
      <c r="A537" s="29"/>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row>
    <row r="538" spans="1:25" ht="15.75" customHeight="1" x14ac:dyDescent="0.2">
      <c r="A538" s="29"/>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row>
    <row r="539" spans="1:25" ht="15.75" customHeight="1" x14ac:dyDescent="0.2">
      <c r="A539" s="29"/>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row>
    <row r="540" spans="1:25" ht="15.75" customHeight="1" x14ac:dyDescent="0.2">
      <c r="A540" s="29"/>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row>
    <row r="541" spans="1:25" ht="15.75" customHeight="1" x14ac:dyDescent="0.2">
      <c r="A541" s="29"/>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row>
    <row r="542" spans="1:25" ht="15.75" customHeight="1" x14ac:dyDescent="0.2">
      <c r="A542" s="29"/>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row>
    <row r="543" spans="1:25" ht="15.75" customHeight="1" x14ac:dyDescent="0.2">
      <c r="A543" s="29"/>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row>
    <row r="544" spans="1:25" ht="15.75" customHeight="1" x14ac:dyDescent="0.2">
      <c r="A544" s="29"/>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row>
    <row r="545" spans="1:25" ht="15.75" customHeight="1" x14ac:dyDescent="0.2">
      <c r="A545" s="29"/>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row>
    <row r="546" spans="1:25" ht="15.75" customHeight="1" x14ac:dyDescent="0.2">
      <c r="A546" s="29"/>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row>
    <row r="547" spans="1:25" ht="15.75" customHeight="1" x14ac:dyDescent="0.2">
      <c r="A547" s="29"/>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row>
    <row r="548" spans="1:25" ht="15.75" customHeight="1" x14ac:dyDescent="0.2">
      <c r="A548" s="29"/>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row>
    <row r="549" spans="1:25" ht="15.75" customHeight="1" x14ac:dyDescent="0.2">
      <c r="A549" s="29"/>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row>
    <row r="550" spans="1:25" ht="15.75" customHeight="1" x14ac:dyDescent="0.2">
      <c r="A550" s="29"/>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row>
    <row r="551" spans="1:25" ht="15.75" customHeight="1" x14ac:dyDescent="0.2">
      <c r="A551" s="29"/>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row>
    <row r="552" spans="1:25" ht="15.75" customHeight="1" x14ac:dyDescent="0.2">
      <c r="A552" s="29"/>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row>
    <row r="553" spans="1:25" ht="15.75" customHeight="1" x14ac:dyDescent="0.2">
      <c r="A553" s="29"/>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row>
    <row r="554" spans="1:25" ht="15.75" customHeight="1" x14ac:dyDescent="0.2">
      <c r="A554" s="29"/>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row>
    <row r="555" spans="1:25" ht="15.75" customHeight="1" x14ac:dyDescent="0.2">
      <c r="A555" s="29"/>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row>
    <row r="556" spans="1:25" ht="15.75" customHeight="1" x14ac:dyDescent="0.2">
      <c r="A556" s="29"/>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row>
    <row r="557" spans="1:25" ht="15.75" customHeight="1" x14ac:dyDescent="0.2">
      <c r="A557" s="29"/>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row>
    <row r="558" spans="1:25" ht="15.75" customHeight="1" x14ac:dyDescent="0.2">
      <c r="A558" s="29"/>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row>
    <row r="559" spans="1:25" ht="15.75" customHeight="1" x14ac:dyDescent="0.2">
      <c r="A559" s="29"/>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row>
    <row r="560" spans="1:25" ht="15.75" customHeight="1" x14ac:dyDescent="0.2">
      <c r="A560" s="29"/>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row>
    <row r="561" spans="1:25" ht="15.75" customHeight="1" x14ac:dyDescent="0.2">
      <c r="A561" s="29"/>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row>
    <row r="562" spans="1:25" ht="15.75" customHeight="1" x14ac:dyDescent="0.2">
      <c r="A562" s="29"/>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row>
    <row r="563" spans="1:25" ht="15.75" customHeight="1" x14ac:dyDescent="0.2">
      <c r="A563" s="29"/>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row>
    <row r="564" spans="1:25" ht="15.75" customHeight="1" x14ac:dyDescent="0.2">
      <c r="A564" s="29"/>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row>
    <row r="565" spans="1:25" ht="15.75" customHeight="1" x14ac:dyDescent="0.2">
      <c r="A565" s="29"/>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row>
    <row r="566" spans="1:25" ht="15.75" customHeight="1" x14ac:dyDescent="0.2">
      <c r="A566" s="29"/>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row>
    <row r="567" spans="1:25" ht="15.75" customHeight="1" x14ac:dyDescent="0.2">
      <c r="A567" s="29"/>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row>
    <row r="568" spans="1:25" ht="15.75" customHeight="1" x14ac:dyDescent="0.2">
      <c r="A568" s="29"/>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row>
    <row r="569" spans="1:25" ht="15.75" customHeight="1" x14ac:dyDescent="0.2">
      <c r="A569" s="29"/>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row>
    <row r="570" spans="1:25" ht="15.75" customHeight="1" x14ac:dyDescent="0.2">
      <c r="A570" s="29"/>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row>
    <row r="571" spans="1:25" ht="15.75" customHeight="1" x14ac:dyDescent="0.2">
      <c r="A571" s="29"/>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row>
    <row r="572" spans="1:25" ht="15.75" customHeight="1" x14ac:dyDescent="0.2">
      <c r="A572" s="29"/>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row>
    <row r="573" spans="1:25" ht="15.75" customHeight="1" x14ac:dyDescent="0.2">
      <c r="A573" s="29"/>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row>
    <row r="574" spans="1:25" ht="15.75" customHeight="1" x14ac:dyDescent="0.2">
      <c r="A574" s="29"/>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row>
    <row r="575" spans="1:25" ht="15.75" customHeight="1" x14ac:dyDescent="0.2">
      <c r="A575" s="29"/>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row>
    <row r="576" spans="1:25" ht="15.75" customHeight="1" x14ac:dyDescent="0.2">
      <c r="A576" s="29"/>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row>
    <row r="577" spans="1:25" ht="15.75" customHeight="1" x14ac:dyDescent="0.2">
      <c r="A577" s="29"/>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row>
    <row r="578" spans="1:25" ht="15.75" customHeight="1" x14ac:dyDescent="0.2">
      <c r="A578" s="29"/>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row>
    <row r="579" spans="1:25" ht="15.75" customHeight="1" x14ac:dyDescent="0.2">
      <c r="A579" s="29"/>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row>
    <row r="580" spans="1:25" ht="15.75" customHeight="1" x14ac:dyDescent="0.2">
      <c r="A580" s="29"/>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row>
    <row r="581" spans="1:25" ht="15.75" customHeight="1" x14ac:dyDescent="0.2">
      <c r="A581" s="29"/>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row>
    <row r="582" spans="1:25" ht="15.75" customHeight="1" x14ac:dyDescent="0.2">
      <c r="A582" s="29"/>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row>
    <row r="583" spans="1:25" ht="15.75" customHeight="1" x14ac:dyDescent="0.2">
      <c r="A583" s="29"/>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row>
    <row r="584" spans="1:25" ht="15.75" customHeight="1" x14ac:dyDescent="0.2">
      <c r="A584" s="29"/>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row>
    <row r="585" spans="1:25" ht="15.75" customHeight="1" x14ac:dyDescent="0.2">
      <c r="A585" s="29"/>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row>
    <row r="586" spans="1:25" ht="15.75" customHeight="1" x14ac:dyDescent="0.2">
      <c r="A586" s="29"/>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row>
    <row r="587" spans="1:25" ht="15.75" customHeight="1" x14ac:dyDescent="0.2">
      <c r="A587" s="29"/>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row>
    <row r="588" spans="1:25" ht="15.75" customHeight="1" x14ac:dyDescent="0.2">
      <c r="A588" s="29"/>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row>
    <row r="589" spans="1:25" ht="15.75" customHeight="1" x14ac:dyDescent="0.2">
      <c r="A589" s="29"/>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row>
    <row r="590" spans="1:25" ht="15.75" customHeight="1" x14ac:dyDescent="0.2">
      <c r="A590" s="29"/>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row>
    <row r="591" spans="1:25" ht="15.75" customHeight="1" x14ac:dyDescent="0.2">
      <c r="A591" s="29"/>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row>
    <row r="592" spans="1:25" ht="15.75" customHeight="1" x14ac:dyDescent="0.2">
      <c r="A592" s="29"/>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row>
    <row r="593" spans="1:25" ht="15.75" customHeight="1" x14ac:dyDescent="0.2">
      <c r="A593" s="29"/>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row>
    <row r="594" spans="1:25" ht="15.75" customHeight="1" x14ac:dyDescent="0.2">
      <c r="A594" s="29"/>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row>
    <row r="595" spans="1:25" ht="15.75" customHeight="1" x14ac:dyDescent="0.2">
      <c r="A595" s="29"/>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row>
    <row r="596" spans="1:25" ht="15.75" customHeight="1" x14ac:dyDescent="0.2">
      <c r="A596" s="29"/>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row>
    <row r="597" spans="1:25" ht="15.75" customHeight="1" x14ac:dyDescent="0.2">
      <c r="A597" s="29"/>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row>
    <row r="598" spans="1:25" ht="15.75" customHeight="1" x14ac:dyDescent="0.2">
      <c r="A598" s="29"/>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row>
    <row r="599" spans="1:25" ht="15.75" customHeight="1" x14ac:dyDescent="0.2">
      <c r="A599" s="29"/>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row>
    <row r="600" spans="1:25" ht="15.75" customHeight="1" x14ac:dyDescent="0.2">
      <c r="A600" s="29"/>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row>
    <row r="601" spans="1:25" ht="15.75" customHeight="1" x14ac:dyDescent="0.2">
      <c r="A601" s="29"/>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row>
    <row r="602" spans="1:25" ht="15.75" customHeight="1" x14ac:dyDescent="0.2">
      <c r="A602" s="29"/>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row>
    <row r="603" spans="1:25" ht="15.75" customHeight="1" x14ac:dyDescent="0.2">
      <c r="A603" s="29"/>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row>
    <row r="604" spans="1:25" ht="15.75" customHeight="1" x14ac:dyDescent="0.2">
      <c r="A604" s="29"/>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row>
    <row r="605" spans="1:25" ht="15.75" customHeight="1" x14ac:dyDescent="0.2">
      <c r="A605" s="29"/>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row>
    <row r="606" spans="1:25" ht="15.75" customHeight="1" x14ac:dyDescent="0.2">
      <c r="A606" s="29"/>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row>
    <row r="607" spans="1:25" ht="15.75" customHeight="1" x14ac:dyDescent="0.2">
      <c r="A607" s="29"/>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row>
    <row r="608" spans="1:25" ht="15.75" customHeight="1" x14ac:dyDescent="0.2">
      <c r="A608" s="29"/>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row>
    <row r="609" spans="1:25" ht="15.75" customHeight="1" x14ac:dyDescent="0.2">
      <c r="A609" s="29"/>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row>
    <row r="610" spans="1:25" ht="15.75" customHeight="1" x14ac:dyDescent="0.2">
      <c r="A610" s="29"/>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row>
    <row r="611" spans="1:25" ht="15.75" customHeight="1" x14ac:dyDescent="0.2">
      <c r="A611" s="29"/>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row>
    <row r="612" spans="1:25" ht="15.75" customHeight="1" x14ac:dyDescent="0.2">
      <c r="A612" s="29"/>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row>
    <row r="613" spans="1:25" ht="15.75" customHeight="1" x14ac:dyDescent="0.2">
      <c r="A613" s="29"/>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row>
    <row r="614" spans="1:25" ht="15.75" customHeight="1" x14ac:dyDescent="0.2">
      <c r="A614" s="29"/>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row>
    <row r="615" spans="1:25" ht="15.75" customHeight="1" x14ac:dyDescent="0.2">
      <c r="A615" s="29"/>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row>
    <row r="616" spans="1:25" ht="15.75" customHeight="1" x14ac:dyDescent="0.2">
      <c r="A616" s="29"/>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row>
    <row r="617" spans="1:25" ht="15.75" customHeight="1" x14ac:dyDescent="0.2">
      <c r="A617" s="29"/>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row>
    <row r="618" spans="1:25" ht="15.75" customHeight="1" x14ac:dyDescent="0.2">
      <c r="A618" s="29"/>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row>
    <row r="619" spans="1:25" ht="15.75" customHeight="1" x14ac:dyDescent="0.2">
      <c r="A619" s="29"/>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row>
    <row r="620" spans="1:25" ht="15.75" customHeight="1" x14ac:dyDescent="0.2">
      <c r="A620" s="29"/>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row>
    <row r="621" spans="1:25" ht="15.75" customHeight="1" x14ac:dyDescent="0.2">
      <c r="A621" s="29"/>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row>
    <row r="622" spans="1:25" ht="15.75" customHeight="1" x14ac:dyDescent="0.2">
      <c r="A622" s="29"/>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row>
    <row r="623" spans="1:25" ht="15.75" customHeight="1" x14ac:dyDescent="0.2">
      <c r="A623" s="29"/>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row>
    <row r="624" spans="1:25" ht="15.75" customHeight="1" x14ac:dyDescent="0.2">
      <c r="A624" s="29"/>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row>
    <row r="625" spans="1:25" ht="15.75" customHeight="1" x14ac:dyDescent="0.2">
      <c r="A625" s="29"/>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row>
    <row r="626" spans="1:25" ht="15.75" customHeight="1" x14ac:dyDescent="0.2">
      <c r="A626" s="29"/>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row>
    <row r="627" spans="1:25" ht="15.75" customHeight="1" x14ac:dyDescent="0.2">
      <c r="A627" s="29"/>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row>
    <row r="628" spans="1:25" ht="15.75" customHeight="1" x14ac:dyDescent="0.2">
      <c r="A628" s="29"/>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row>
    <row r="629" spans="1:25" ht="15.75" customHeight="1" x14ac:dyDescent="0.2">
      <c r="A629" s="29"/>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row>
    <row r="630" spans="1:25" ht="15.75" customHeight="1" x14ac:dyDescent="0.2">
      <c r="A630" s="29"/>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row>
    <row r="631" spans="1:25" ht="15.75" customHeight="1" x14ac:dyDescent="0.2">
      <c r="A631" s="29"/>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row>
    <row r="632" spans="1:25" ht="15.75" customHeight="1" x14ac:dyDescent="0.2">
      <c r="A632" s="29"/>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row>
    <row r="633" spans="1:25" ht="15.75" customHeight="1" x14ac:dyDescent="0.2">
      <c r="A633" s="29"/>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row>
    <row r="634" spans="1:25" ht="15.75" customHeight="1" x14ac:dyDescent="0.2">
      <c r="A634" s="29"/>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row>
    <row r="635" spans="1:25" ht="15.75" customHeight="1" x14ac:dyDescent="0.2">
      <c r="A635" s="29"/>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row>
    <row r="636" spans="1:25" ht="15.75" customHeight="1" x14ac:dyDescent="0.2">
      <c r="A636" s="29"/>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row>
    <row r="637" spans="1:25" ht="15.75" customHeight="1" x14ac:dyDescent="0.2">
      <c r="A637" s="29"/>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row>
    <row r="638" spans="1:25" ht="15.75" customHeight="1" x14ac:dyDescent="0.2">
      <c r="A638" s="29"/>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row>
    <row r="639" spans="1:25" ht="15.75" customHeight="1" x14ac:dyDescent="0.2">
      <c r="A639" s="29"/>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row>
    <row r="640" spans="1:25" ht="15.75" customHeight="1" x14ac:dyDescent="0.2">
      <c r="A640" s="29"/>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row>
    <row r="641" spans="1:25" ht="15.75" customHeight="1" x14ac:dyDescent="0.2">
      <c r="A641" s="29"/>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row>
    <row r="642" spans="1:25" ht="15.75" customHeight="1" x14ac:dyDescent="0.2">
      <c r="A642" s="29"/>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row>
    <row r="643" spans="1:25" ht="15.75" customHeight="1" x14ac:dyDescent="0.2">
      <c r="A643" s="29"/>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row>
    <row r="644" spans="1:25" ht="15.75" customHeight="1" x14ac:dyDescent="0.2">
      <c r="A644" s="29"/>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row>
    <row r="645" spans="1:25" ht="15.75" customHeight="1" x14ac:dyDescent="0.2">
      <c r="A645" s="29"/>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row>
    <row r="646" spans="1:25" ht="15.75" customHeight="1" x14ac:dyDescent="0.2">
      <c r="A646" s="29"/>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row>
    <row r="647" spans="1:25" ht="15.75" customHeight="1" x14ac:dyDescent="0.2">
      <c r="A647" s="29"/>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row>
    <row r="648" spans="1:25" ht="15.75" customHeight="1" x14ac:dyDescent="0.2">
      <c r="A648" s="29"/>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row>
    <row r="649" spans="1:25" ht="15.75" customHeight="1" x14ac:dyDescent="0.2">
      <c r="A649" s="29"/>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row>
    <row r="650" spans="1:25" ht="15.75" customHeight="1" x14ac:dyDescent="0.2">
      <c r="A650" s="29"/>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row>
    <row r="651" spans="1:25" ht="15.75" customHeight="1" x14ac:dyDescent="0.2">
      <c r="A651" s="29"/>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row>
    <row r="652" spans="1:25" ht="15.75" customHeight="1" x14ac:dyDescent="0.2">
      <c r="A652" s="29"/>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row>
    <row r="653" spans="1:25" ht="15.75" customHeight="1" x14ac:dyDescent="0.2">
      <c r="A653" s="29"/>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row>
    <row r="654" spans="1:25" ht="15.75" customHeight="1" x14ac:dyDescent="0.2">
      <c r="A654" s="29"/>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row>
    <row r="655" spans="1:25" ht="15.75" customHeight="1" x14ac:dyDescent="0.2">
      <c r="A655" s="29"/>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row>
    <row r="656" spans="1:25" ht="15.75" customHeight="1" x14ac:dyDescent="0.2">
      <c r="A656" s="29"/>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row>
    <row r="657" spans="1:25" ht="15.75" customHeight="1" x14ac:dyDescent="0.2">
      <c r="A657" s="29"/>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row>
    <row r="658" spans="1:25" ht="15.75" customHeight="1" x14ac:dyDescent="0.2">
      <c r="A658" s="29"/>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row>
    <row r="659" spans="1:25" ht="15.75" customHeight="1" x14ac:dyDescent="0.2">
      <c r="A659" s="29"/>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row>
    <row r="660" spans="1:25" ht="15.75" customHeight="1" x14ac:dyDescent="0.2">
      <c r="A660" s="29"/>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row>
    <row r="661" spans="1:25" ht="15.75" customHeight="1" x14ac:dyDescent="0.2">
      <c r="A661" s="29"/>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row>
    <row r="662" spans="1:25" ht="15.75" customHeight="1" x14ac:dyDescent="0.2">
      <c r="A662" s="29"/>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row>
    <row r="663" spans="1:25" ht="15.75" customHeight="1" x14ac:dyDescent="0.2">
      <c r="A663" s="29"/>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row>
    <row r="664" spans="1:25" ht="15.75" customHeight="1" x14ac:dyDescent="0.2">
      <c r="A664" s="29"/>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row>
    <row r="665" spans="1:25" ht="15.75" customHeight="1" x14ac:dyDescent="0.2">
      <c r="A665" s="29"/>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row>
    <row r="666" spans="1:25" ht="15.75" customHeight="1" x14ac:dyDescent="0.2">
      <c r="A666" s="29"/>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row>
    <row r="667" spans="1:25" ht="15.75" customHeight="1" x14ac:dyDescent="0.2">
      <c r="A667" s="29"/>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row>
    <row r="668" spans="1:25" ht="15.75" customHeight="1" x14ac:dyDescent="0.2">
      <c r="A668" s="29"/>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row>
    <row r="669" spans="1:25" ht="15.75" customHeight="1" x14ac:dyDescent="0.2">
      <c r="A669" s="29"/>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row>
    <row r="670" spans="1:25" ht="15.75" customHeight="1" x14ac:dyDescent="0.2">
      <c r="A670" s="29"/>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row>
    <row r="671" spans="1:25" ht="15.75" customHeight="1" x14ac:dyDescent="0.2">
      <c r="A671" s="29"/>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row>
    <row r="672" spans="1:25" ht="15.75" customHeight="1" x14ac:dyDescent="0.2">
      <c r="A672" s="29"/>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row>
    <row r="673" spans="1:25" ht="15.75" customHeight="1" x14ac:dyDescent="0.2">
      <c r="A673" s="29"/>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row>
    <row r="674" spans="1:25" ht="15.75" customHeight="1" x14ac:dyDescent="0.2">
      <c r="A674" s="29"/>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row>
    <row r="675" spans="1:25" ht="15.75" customHeight="1" x14ac:dyDescent="0.2">
      <c r="A675" s="29"/>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row>
    <row r="676" spans="1:25" ht="15.75" customHeight="1" x14ac:dyDescent="0.2">
      <c r="A676" s="29"/>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row>
    <row r="677" spans="1:25" ht="15.75" customHeight="1" x14ac:dyDescent="0.2">
      <c r="A677" s="29"/>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row>
    <row r="678" spans="1:25" ht="15.75" customHeight="1" x14ac:dyDescent="0.2">
      <c r="A678" s="29"/>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row>
    <row r="679" spans="1:25" ht="15.75" customHeight="1" x14ac:dyDescent="0.2">
      <c r="A679" s="29"/>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row>
    <row r="680" spans="1:25" ht="15.75" customHeight="1" x14ac:dyDescent="0.2">
      <c r="A680" s="29"/>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row>
    <row r="681" spans="1:25" ht="15.75" customHeight="1" x14ac:dyDescent="0.2">
      <c r="A681" s="29"/>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row>
    <row r="682" spans="1:25" ht="15.75" customHeight="1" x14ac:dyDescent="0.2">
      <c r="A682" s="29"/>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row>
    <row r="683" spans="1:25" ht="15.75" customHeight="1" x14ac:dyDescent="0.2">
      <c r="A683" s="29"/>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row>
    <row r="684" spans="1:25" ht="15.75" customHeight="1" x14ac:dyDescent="0.2">
      <c r="A684" s="29"/>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row>
    <row r="685" spans="1:25" ht="15.75" customHeight="1" x14ac:dyDescent="0.2">
      <c r="A685" s="29"/>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row>
    <row r="686" spans="1:25" ht="15.75" customHeight="1" x14ac:dyDescent="0.2">
      <c r="A686" s="29"/>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row>
    <row r="687" spans="1:25" ht="15.75" customHeight="1" x14ac:dyDescent="0.2">
      <c r="A687" s="29"/>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row>
    <row r="688" spans="1:25" ht="15.75" customHeight="1" x14ac:dyDescent="0.2">
      <c r="A688" s="29"/>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row>
    <row r="689" spans="1:25" ht="15.75" customHeight="1" x14ac:dyDescent="0.2">
      <c r="A689" s="29"/>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row>
    <row r="690" spans="1:25" ht="15.75" customHeight="1" x14ac:dyDescent="0.2">
      <c r="A690" s="29"/>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row>
    <row r="691" spans="1:25" ht="15.75" customHeight="1" x14ac:dyDescent="0.2">
      <c r="A691" s="29"/>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row>
    <row r="692" spans="1:25" ht="15.75" customHeight="1" x14ac:dyDescent="0.2">
      <c r="A692" s="29"/>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row>
    <row r="693" spans="1:25" ht="15.75" customHeight="1" x14ac:dyDescent="0.2">
      <c r="A693" s="29"/>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row>
    <row r="694" spans="1:25" ht="15.75" customHeight="1" x14ac:dyDescent="0.2">
      <c r="A694" s="29"/>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row>
    <row r="695" spans="1:25" ht="15.75" customHeight="1" x14ac:dyDescent="0.2">
      <c r="A695" s="29"/>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row>
    <row r="696" spans="1:25" ht="15.75" customHeight="1" x14ac:dyDescent="0.2">
      <c r="A696" s="29"/>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row>
    <row r="697" spans="1:25" ht="15.75" customHeight="1" x14ac:dyDescent="0.2">
      <c r="A697" s="29"/>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row>
    <row r="698" spans="1:25" ht="15.75" customHeight="1" x14ac:dyDescent="0.2">
      <c r="A698" s="29"/>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row>
    <row r="699" spans="1:25" ht="15.75" customHeight="1" x14ac:dyDescent="0.2">
      <c r="A699" s="29"/>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row>
    <row r="700" spans="1:25" ht="15.75" customHeight="1" x14ac:dyDescent="0.2">
      <c r="A700" s="29"/>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row>
    <row r="701" spans="1:25" ht="15.75" customHeight="1" x14ac:dyDescent="0.2">
      <c r="A701" s="29"/>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row>
    <row r="702" spans="1:25" ht="15.75" customHeight="1" x14ac:dyDescent="0.2">
      <c r="A702" s="29"/>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row>
    <row r="703" spans="1:25" ht="15.75" customHeight="1" x14ac:dyDescent="0.2">
      <c r="A703" s="29"/>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row>
    <row r="704" spans="1:25" ht="15.75" customHeight="1" x14ac:dyDescent="0.2">
      <c r="A704" s="29"/>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row>
    <row r="705" spans="1:25" ht="15.75" customHeight="1" x14ac:dyDescent="0.2">
      <c r="A705" s="29"/>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row>
    <row r="706" spans="1:25" ht="15.75" customHeight="1" x14ac:dyDescent="0.2">
      <c r="A706" s="29"/>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row>
    <row r="707" spans="1:25" ht="15.75" customHeight="1" x14ac:dyDescent="0.2">
      <c r="A707" s="29"/>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row>
    <row r="708" spans="1:25" ht="15.75" customHeight="1" x14ac:dyDescent="0.2">
      <c r="A708" s="29"/>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row>
    <row r="709" spans="1:25" ht="15.75" customHeight="1" x14ac:dyDescent="0.2">
      <c r="A709" s="29"/>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row>
    <row r="710" spans="1:25" ht="15.75" customHeight="1" x14ac:dyDescent="0.2">
      <c r="A710" s="29"/>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row>
    <row r="711" spans="1:25" ht="15.75" customHeight="1" x14ac:dyDescent="0.2">
      <c r="A711" s="29"/>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row>
    <row r="712" spans="1:25" ht="15.75" customHeight="1" x14ac:dyDescent="0.2">
      <c r="A712" s="29"/>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row>
    <row r="713" spans="1:25" ht="15.75" customHeight="1" x14ac:dyDescent="0.2">
      <c r="A713" s="29"/>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row>
    <row r="714" spans="1:25" ht="15.75" customHeight="1" x14ac:dyDescent="0.2">
      <c r="A714" s="29"/>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row>
    <row r="715" spans="1:25" ht="15.75" customHeight="1" x14ac:dyDescent="0.2">
      <c r="A715" s="29"/>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row>
    <row r="716" spans="1:25" ht="15.75" customHeight="1" x14ac:dyDescent="0.2">
      <c r="A716" s="29"/>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row>
    <row r="717" spans="1:25" ht="15.75" customHeight="1" x14ac:dyDescent="0.2">
      <c r="A717" s="29"/>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row>
    <row r="718" spans="1:25" ht="15.75" customHeight="1" x14ac:dyDescent="0.2">
      <c r="A718" s="29"/>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row>
    <row r="719" spans="1:25" ht="15.75" customHeight="1" x14ac:dyDescent="0.2">
      <c r="A719" s="29"/>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row>
    <row r="720" spans="1:25" ht="15.75" customHeight="1" x14ac:dyDescent="0.2">
      <c r="A720" s="29"/>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row>
    <row r="721" spans="1:25" ht="15.75" customHeight="1" x14ac:dyDescent="0.2">
      <c r="A721" s="29"/>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row>
    <row r="722" spans="1:25" ht="15.75" customHeight="1" x14ac:dyDescent="0.2">
      <c r="A722" s="29"/>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row>
    <row r="723" spans="1:25" ht="15.75" customHeight="1" x14ac:dyDescent="0.2">
      <c r="A723" s="29"/>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row>
    <row r="724" spans="1:25" ht="15.75" customHeight="1" x14ac:dyDescent="0.2">
      <c r="A724" s="29"/>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row>
    <row r="725" spans="1:25" ht="15.75" customHeight="1" x14ac:dyDescent="0.2">
      <c r="A725" s="29"/>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row>
    <row r="726" spans="1:25" ht="15.75" customHeight="1" x14ac:dyDescent="0.2">
      <c r="A726" s="29"/>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row>
    <row r="727" spans="1:25" ht="15.75" customHeight="1" x14ac:dyDescent="0.2">
      <c r="A727" s="29"/>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row>
    <row r="728" spans="1:25" ht="15.75" customHeight="1" x14ac:dyDescent="0.2">
      <c r="A728" s="29"/>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row>
    <row r="729" spans="1:25" ht="15.75" customHeight="1" x14ac:dyDescent="0.2">
      <c r="A729" s="29"/>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row>
    <row r="730" spans="1:25" ht="15.75" customHeight="1" x14ac:dyDescent="0.2">
      <c r="A730" s="29"/>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row>
    <row r="731" spans="1:25" ht="15.75" customHeight="1" x14ac:dyDescent="0.2">
      <c r="A731" s="29"/>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row>
    <row r="732" spans="1:25" ht="15.75" customHeight="1" x14ac:dyDescent="0.2">
      <c r="A732" s="29"/>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row>
    <row r="733" spans="1:25" ht="15.75" customHeight="1" x14ac:dyDescent="0.2">
      <c r="A733" s="29"/>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row>
    <row r="734" spans="1:25" ht="15.75" customHeight="1" x14ac:dyDescent="0.2">
      <c r="A734" s="29"/>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row>
    <row r="735" spans="1:25" ht="15.75" customHeight="1" x14ac:dyDescent="0.2">
      <c r="A735" s="29"/>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row>
    <row r="736" spans="1:25" ht="15.75" customHeight="1" x14ac:dyDescent="0.2">
      <c r="A736" s="29"/>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row>
    <row r="737" spans="1:25" ht="15.75" customHeight="1" x14ac:dyDescent="0.2">
      <c r="A737" s="29"/>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row>
    <row r="738" spans="1:25" ht="15.75" customHeight="1" x14ac:dyDescent="0.2">
      <c r="A738" s="29"/>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row>
    <row r="739" spans="1:25" ht="15.75" customHeight="1" x14ac:dyDescent="0.2">
      <c r="A739" s="29"/>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row>
    <row r="740" spans="1:25" ht="15.75" customHeight="1" x14ac:dyDescent="0.2">
      <c r="A740" s="29"/>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row>
    <row r="741" spans="1:25" ht="15.75" customHeight="1" x14ac:dyDescent="0.2">
      <c r="A741" s="29"/>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row>
    <row r="742" spans="1:25" ht="15.75" customHeight="1" x14ac:dyDescent="0.2">
      <c r="A742" s="29"/>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row>
    <row r="743" spans="1:25" ht="15.75" customHeight="1" x14ac:dyDescent="0.2">
      <c r="A743" s="29"/>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row>
    <row r="744" spans="1:25" ht="15.75" customHeight="1" x14ac:dyDescent="0.2">
      <c r="A744" s="29"/>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row>
    <row r="745" spans="1:25" ht="15.75" customHeight="1" x14ac:dyDescent="0.2">
      <c r="A745" s="29"/>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row>
    <row r="746" spans="1:25" ht="15.75" customHeight="1" x14ac:dyDescent="0.2">
      <c r="A746" s="29"/>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row>
    <row r="747" spans="1:25" ht="15.75" customHeight="1" x14ac:dyDescent="0.2">
      <c r="A747" s="29"/>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row>
    <row r="748" spans="1:25" ht="15.75" customHeight="1" x14ac:dyDescent="0.2">
      <c r="A748" s="29"/>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row>
    <row r="749" spans="1:25" ht="15.75" customHeight="1" x14ac:dyDescent="0.2">
      <c r="A749" s="29"/>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row>
    <row r="750" spans="1:25" ht="15.75" customHeight="1" x14ac:dyDescent="0.2">
      <c r="A750" s="29"/>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row>
    <row r="751" spans="1:25" ht="15.75" customHeight="1" x14ac:dyDescent="0.2">
      <c r="A751" s="29"/>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row>
    <row r="752" spans="1:25" ht="15.75" customHeight="1" x14ac:dyDescent="0.2">
      <c r="A752" s="29"/>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row>
    <row r="753" spans="1:25" ht="15.75" customHeight="1" x14ac:dyDescent="0.2">
      <c r="A753" s="29"/>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row>
    <row r="754" spans="1:25" ht="15.75" customHeight="1" x14ac:dyDescent="0.2">
      <c r="A754" s="29"/>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row>
    <row r="755" spans="1:25" ht="15.75" customHeight="1" x14ac:dyDescent="0.2">
      <c r="A755" s="29"/>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row>
    <row r="756" spans="1:25" ht="15.75" customHeight="1" x14ac:dyDescent="0.2">
      <c r="A756" s="29"/>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row>
    <row r="757" spans="1:25" ht="15.75" customHeight="1" x14ac:dyDescent="0.2">
      <c r="A757" s="29"/>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row>
    <row r="758" spans="1:25" ht="15.75" customHeight="1" x14ac:dyDescent="0.2">
      <c r="A758" s="29"/>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row>
    <row r="759" spans="1:25" ht="15.75" customHeight="1" x14ac:dyDescent="0.2">
      <c r="A759" s="29"/>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row>
    <row r="760" spans="1:25" ht="15.75" customHeight="1" x14ac:dyDescent="0.2">
      <c r="A760" s="29"/>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row>
    <row r="761" spans="1:25" ht="15.75" customHeight="1" x14ac:dyDescent="0.2">
      <c r="A761" s="29"/>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row>
    <row r="762" spans="1:25" ht="15.75" customHeight="1" x14ac:dyDescent="0.2">
      <c r="A762" s="29"/>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row>
    <row r="763" spans="1:25" ht="15.75" customHeight="1" x14ac:dyDescent="0.2">
      <c r="A763" s="29"/>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row>
    <row r="764" spans="1:25" ht="15.75" customHeight="1" x14ac:dyDescent="0.2">
      <c r="A764" s="29"/>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row>
    <row r="765" spans="1:25" ht="15.75" customHeight="1" x14ac:dyDescent="0.2">
      <c r="A765" s="29"/>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row>
    <row r="766" spans="1:25" ht="15.75" customHeight="1" x14ac:dyDescent="0.2">
      <c r="A766" s="29"/>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row>
    <row r="767" spans="1:25" ht="15.75" customHeight="1" x14ac:dyDescent="0.2">
      <c r="A767" s="29"/>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row>
    <row r="768" spans="1:25" ht="15.75" customHeight="1" x14ac:dyDescent="0.2">
      <c r="A768" s="29"/>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row>
    <row r="769" spans="1:25" ht="15.75" customHeight="1" x14ac:dyDescent="0.2">
      <c r="A769" s="29"/>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row>
    <row r="770" spans="1:25" ht="15.75" customHeight="1" x14ac:dyDescent="0.2">
      <c r="A770" s="29"/>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row>
    <row r="771" spans="1:25" ht="15.75" customHeight="1" x14ac:dyDescent="0.2">
      <c r="A771" s="29"/>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row>
    <row r="772" spans="1:25" ht="15.75" customHeight="1" x14ac:dyDescent="0.2">
      <c r="A772" s="29"/>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row>
    <row r="773" spans="1:25" ht="15.75" customHeight="1" x14ac:dyDescent="0.2">
      <c r="A773" s="29"/>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row>
    <row r="774" spans="1:25" ht="15.75" customHeight="1" x14ac:dyDescent="0.2">
      <c r="A774" s="29"/>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row>
    <row r="775" spans="1:25" ht="15.75" customHeight="1" x14ac:dyDescent="0.2">
      <c r="A775" s="29"/>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row>
    <row r="776" spans="1:25" ht="15.75" customHeight="1" x14ac:dyDescent="0.2">
      <c r="A776" s="29"/>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row>
    <row r="777" spans="1:25" ht="15.75" customHeight="1" x14ac:dyDescent="0.2">
      <c r="A777" s="29"/>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row>
    <row r="778" spans="1:25" ht="15.75" customHeight="1" x14ac:dyDescent="0.2">
      <c r="A778" s="29"/>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row>
    <row r="779" spans="1:25" ht="15.75" customHeight="1" x14ac:dyDescent="0.2">
      <c r="A779" s="29"/>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row>
    <row r="780" spans="1:25" ht="15.75" customHeight="1" x14ac:dyDescent="0.2">
      <c r="A780" s="29"/>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row>
    <row r="781" spans="1:25" ht="15.75" customHeight="1" x14ac:dyDescent="0.2">
      <c r="A781" s="29"/>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row>
    <row r="782" spans="1:25" ht="15.75" customHeight="1" x14ac:dyDescent="0.2">
      <c r="A782" s="29"/>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row>
    <row r="783" spans="1:25" ht="15.75" customHeight="1" x14ac:dyDescent="0.2">
      <c r="A783" s="29"/>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row>
    <row r="784" spans="1:25" ht="15.75" customHeight="1" x14ac:dyDescent="0.2">
      <c r="A784" s="29"/>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row>
    <row r="785" spans="1:25" ht="15.75" customHeight="1" x14ac:dyDescent="0.2">
      <c r="A785" s="29"/>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row>
    <row r="786" spans="1:25" ht="15.75" customHeight="1" x14ac:dyDescent="0.2">
      <c r="A786" s="29"/>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row>
    <row r="787" spans="1:25" ht="15.75" customHeight="1" x14ac:dyDescent="0.2">
      <c r="A787" s="29"/>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row>
    <row r="788" spans="1:25" ht="15.75" customHeight="1" x14ac:dyDescent="0.2">
      <c r="A788" s="29"/>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row>
    <row r="789" spans="1:25" ht="15.75" customHeight="1" x14ac:dyDescent="0.2">
      <c r="A789" s="29"/>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row>
    <row r="790" spans="1:25" ht="15.75" customHeight="1" x14ac:dyDescent="0.2">
      <c r="A790" s="29"/>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row>
    <row r="791" spans="1:25" ht="15.75" customHeight="1" x14ac:dyDescent="0.2">
      <c r="A791" s="29"/>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row>
    <row r="792" spans="1:25" ht="15.75" customHeight="1" x14ac:dyDescent="0.2">
      <c r="A792" s="29"/>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row>
    <row r="793" spans="1:25" ht="15.75" customHeight="1" x14ac:dyDescent="0.2">
      <c r="A793" s="29"/>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row>
    <row r="794" spans="1:25" ht="15.75" customHeight="1" x14ac:dyDescent="0.2">
      <c r="A794" s="29"/>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row>
    <row r="795" spans="1:25" ht="15.75" customHeight="1" x14ac:dyDescent="0.2">
      <c r="A795" s="29"/>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row>
    <row r="796" spans="1:25" ht="15.75" customHeight="1" x14ac:dyDescent="0.2">
      <c r="A796" s="29"/>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row>
    <row r="797" spans="1:25" ht="15.75" customHeight="1" x14ac:dyDescent="0.2">
      <c r="A797" s="29"/>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row>
    <row r="798" spans="1:25" ht="15.75" customHeight="1" x14ac:dyDescent="0.2">
      <c r="A798" s="29"/>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row>
    <row r="799" spans="1:25" ht="15.75" customHeight="1" x14ac:dyDescent="0.2">
      <c r="A799" s="29"/>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row>
    <row r="800" spans="1:25" ht="15.75" customHeight="1" x14ac:dyDescent="0.2">
      <c r="A800" s="29"/>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row>
    <row r="801" spans="1:25" ht="15.75" customHeight="1" x14ac:dyDescent="0.2">
      <c r="A801" s="29"/>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row>
    <row r="802" spans="1:25" ht="15.75" customHeight="1" x14ac:dyDescent="0.2">
      <c r="A802" s="29"/>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row>
    <row r="803" spans="1:25" ht="15.75" customHeight="1" x14ac:dyDescent="0.2">
      <c r="A803" s="29"/>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row>
    <row r="804" spans="1:25" ht="15.75" customHeight="1" x14ac:dyDescent="0.2">
      <c r="A804" s="29"/>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row>
    <row r="805" spans="1:25" ht="15.75" customHeight="1" x14ac:dyDescent="0.2">
      <c r="A805" s="29"/>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row>
    <row r="806" spans="1:25" ht="15.75" customHeight="1" x14ac:dyDescent="0.2">
      <c r="A806" s="29"/>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row>
    <row r="807" spans="1:25" ht="15.75" customHeight="1" x14ac:dyDescent="0.2">
      <c r="A807" s="29"/>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row>
    <row r="808" spans="1:25" ht="15.75" customHeight="1" x14ac:dyDescent="0.2">
      <c r="A808" s="29"/>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row>
    <row r="809" spans="1:25" ht="15.75" customHeight="1" x14ac:dyDescent="0.2">
      <c r="A809" s="29"/>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row>
    <row r="810" spans="1:25" ht="15.75" customHeight="1" x14ac:dyDescent="0.2">
      <c r="A810" s="29"/>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row>
    <row r="811" spans="1:25" ht="15.75" customHeight="1" x14ac:dyDescent="0.2">
      <c r="A811" s="29"/>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row>
    <row r="812" spans="1:25" ht="15.75" customHeight="1" x14ac:dyDescent="0.2">
      <c r="A812" s="29"/>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row>
    <row r="813" spans="1:25" ht="15.75" customHeight="1" x14ac:dyDescent="0.2">
      <c r="A813" s="29"/>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row>
    <row r="814" spans="1:25" ht="15.75" customHeight="1" x14ac:dyDescent="0.2">
      <c r="A814" s="29"/>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row>
    <row r="815" spans="1:25" ht="15.75" customHeight="1" x14ac:dyDescent="0.2">
      <c r="A815" s="29"/>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row>
    <row r="816" spans="1:25" ht="15.75" customHeight="1" x14ac:dyDescent="0.2">
      <c r="A816" s="29"/>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row>
    <row r="817" spans="1:25" ht="15.75" customHeight="1" x14ac:dyDescent="0.2">
      <c r="A817" s="29"/>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row>
    <row r="818" spans="1:25" ht="15.75" customHeight="1" x14ac:dyDescent="0.2">
      <c r="A818" s="29"/>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row>
    <row r="819" spans="1:25" ht="15.75" customHeight="1" x14ac:dyDescent="0.2">
      <c r="A819" s="29"/>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row>
    <row r="820" spans="1:25" ht="15.75" customHeight="1" x14ac:dyDescent="0.2">
      <c r="A820" s="29"/>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row>
    <row r="821" spans="1:25" ht="15.75" customHeight="1" x14ac:dyDescent="0.2">
      <c r="A821" s="29"/>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row>
    <row r="822" spans="1:25" ht="15.75" customHeight="1" x14ac:dyDescent="0.2">
      <c r="A822" s="29"/>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row>
    <row r="823" spans="1:25" ht="15.75" customHeight="1" x14ac:dyDescent="0.2">
      <c r="A823" s="29"/>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row>
    <row r="824" spans="1:25" ht="15.75" customHeight="1" x14ac:dyDescent="0.2">
      <c r="A824" s="29"/>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row>
    <row r="825" spans="1:25" ht="15.75" customHeight="1" x14ac:dyDescent="0.2">
      <c r="A825" s="29"/>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row>
    <row r="826" spans="1:25" ht="15.75" customHeight="1" x14ac:dyDescent="0.2">
      <c r="A826" s="29"/>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row>
    <row r="827" spans="1:25" ht="15.75" customHeight="1" x14ac:dyDescent="0.2">
      <c r="A827" s="29"/>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row>
    <row r="828" spans="1:25" ht="15.75" customHeight="1" x14ac:dyDescent="0.2">
      <c r="A828" s="29"/>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row>
    <row r="829" spans="1:25" ht="15.75" customHeight="1" x14ac:dyDescent="0.2">
      <c r="A829" s="29"/>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row>
    <row r="830" spans="1:25" ht="15.75" customHeight="1" x14ac:dyDescent="0.2">
      <c r="A830" s="29"/>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row>
    <row r="831" spans="1:25" ht="15.75" customHeight="1" x14ac:dyDescent="0.2">
      <c r="A831" s="29"/>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row>
    <row r="832" spans="1:25" ht="15.75" customHeight="1" x14ac:dyDescent="0.2">
      <c r="A832" s="29"/>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row>
    <row r="833" spans="1:25" ht="15.75" customHeight="1" x14ac:dyDescent="0.2">
      <c r="A833" s="29"/>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row>
    <row r="834" spans="1:25" ht="15.75" customHeight="1" x14ac:dyDescent="0.2">
      <c r="A834" s="29"/>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row>
    <row r="835" spans="1:25" ht="15.75" customHeight="1" x14ac:dyDescent="0.2">
      <c r="A835" s="29"/>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row>
    <row r="836" spans="1:25" ht="15.75" customHeight="1" x14ac:dyDescent="0.2">
      <c r="A836" s="29"/>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row>
    <row r="837" spans="1:25" ht="15.75" customHeight="1" x14ac:dyDescent="0.2">
      <c r="A837" s="29"/>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row>
    <row r="838" spans="1:25" ht="15.75" customHeight="1" x14ac:dyDescent="0.2">
      <c r="A838" s="29"/>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row>
    <row r="839" spans="1:25" ht="15.75" customHeight="1" x14ac:dyDescent="0.2">
      <c r="A839" s="29"/>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row>
    <row r="840" spans="1:25" ht="15.75" customHeight="1" x14ac:dyDescent="0.2">
      <c r="A840" s="29"/>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row>
    <row r="841" spans="1:25" ht="15.75" customHeight="1" x14ac:dyDescent="0.2">
      <c r="A841" s="29"/>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row>
    <row r="842" spans="1:25" ht="15.75" customHeight="1" x14ac:dyDescent="0.2">
      <c r="A842" s="29"/>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row>
    <row r="843" spans="1:25" ht="15.75" customHeight="1" x14ac:dyDescent="0.2">
      <c r="A843" s="29"/>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row>
    <row r="844" spans="1:25" ht="15.75" customHeight="1" x14ac:dyDescent="0.2">
      <c r="A844" s="29"/>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row>
    <row r="845" spans="1:25" ht="15.75" customHeight="1" x14ac:dyDescent="0.2">
      <c r="A845" s="29"/>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row>
    <row r="846" spans="1:25" ht="15.75" customHeight="1" x14ac:dyDescent="0.2">
      <c r="A846" s="29"/>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row>
    <row r="847" spans="1:25" ht="15.75" customHeight="1" x14ac:dyDescent="0.2">
      <c r="A847" s="29"/>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row>
    <row r="848" spans="1:25" ht="15.75" customHeight="1" x14ac:dyDescent="0.2">
      <c r="A848" s="29"/>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row>
    <row r="849" spans="1:25" ht="15.75" customHeight="1" x14ac:dyDescent="0.2">
      <c r="A849" s="29"/>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row>
    <row r="850" spans="1:25" ht="15.75" customHeight="1" x14ac:dyDescent="0.2">
      <c r="A850" s="29"/>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row>
    <row r="851" spans="1:25" ht="15.75" customHeight="1" x14ac:dyDescent="0.2">
      <c r="A851" s="29"/>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row>
    <row r="852" spans="1:25" ht="15.75" customHeight="1" x14ac:dyDescent="0.2">
      <c r="A852" s="29"/>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row>
    <row r="853" spans="1:25" ht="15.75" customHeight="1" x14ac:dyDescent="0.2">
      <c r="A853" s="29"/>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row>
    <row r="854" spans="1:25" ht="15.75" customHeight="1" x14ac:dyDescent="0.2">
      <c r="A854" s="29"/>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row>
    <row r="855" spans="1:25" ht="15.75" customHeight="1" x14ac:dyDescent="0.2">
      <c r="A855" s="29"/>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row>
    <row r="856" spans="1:25" ht="15.75" customHeight="1" x14ac:dyDescent="0.2">
      <c r="A856" s="29"/>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row>
    <row r="857" spans="1:25" ht="15.75" customHeight="1" x14ac:dyDescent="0.2">
      <c r="A857" s="29"/>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row>
    <row r="858" spans="1:25" ht="15.75" customHeight="1" x14ac:dyDescent="0.2">
      <c r="A858" s="29"/>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row>
    <row r="859" spans="1:25" ht="15.75" customHeight="1" x14ac:dyDescent="0.2">
      <c r="A859" s="29"/>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row>
    <row r="860" spans="1:25" ht="15.75" customHeight="1" x14ac:dyDescent="0.2">
      <c r="A860" s="29"/>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row>
    <row r="861" spans="1:25" ht="15.75" customHeight="1" x14ac:dyDescent="0.2">
      <c r="A861" s="29"/>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row>
    <row r="862" spans="1:25" ht="15.75" customHeight="1" x14ac:dyDescent="0.2">
      <c r="A862" s="29"/>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row>
    <row r="863" spans="1:25" ht="15.75" customHeight="1" x14ac:dyDescent="0.2">
      <c r="A863" s="29"/>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row>
    <row r="864" spans="1:25" ht="15.75" customHeight="1" x14ac:dyDescent="0.2">
      <c r="A864" s="29"/>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row>
    <row r="865" spans="1:25" ht="15.75" customHeight="1" x14ac:dyDescent="0.2">
      <c r="A865" s="29"/>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row>
    <row r="866" spans="1:25" ht="15.75" customHeight="1" x14ac:dyDescent="0.2">
      <c r="A866" s="29"/>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row>
    <row r="867" spans="1:25" ht="15.75" customHeight="1" x14ac:dyDescent="0.2">
      <c r="A867" s="29"/>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row>
    <row r="868" spans="1:25" ht="15.75" customHeight="1" x14ac:dyDescent="0.2">
      <c r="A868" s="29"/>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row>
    <row r="869" spans="1:25" ht="15.75" customHeight="1" x14ac:dyDescent="0.2">
      <c r="A869" s="29"/>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row>
    <row r="870" spans="1:25" ht="15.75" customHeight="1" x14ac:dyDescent="0.2">
      <c r="A870" s="29"/>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row>
    <row r="871" spans="1:25" ht="15.75" customHeight="1" x14ac:dyDescent="0.2">
      <c r="A871" s="29"/>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row>
    <row r="872" spans="1:25" ht="15.75" customHeight="1" x14ac:dyDescent="0.2">
      <c r="A872" s="29"/>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row>
    <row r="873" spans="1:25" ht="15.75" customHeight="1" x14ac:dyDescent="0.2">
      <c r="A873" s="29"/>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row>
    <row r="874" spans="1:25" ht="15.75" customHeight="1" x14ac:dyDescent="0.2">
      <c r="A874" s="29"/>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row>
    <row r="875" spans="1:25" ht="15.75" customHeight="1" x14ac:dyDescent="0.2">
      <c r="A875" s="29"/>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row>
    <row r="876" spans="1:25" ht="15.75" customHeight="1" x14ac:dyDescent="0.2">
      <c r="A876" s="29"/>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row>
    <row r="877" spans="1:25" ht="15.75" customHeight="1" x14ac:dyDescent="0.2">
      <c r="A877" s="29"/>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row>
    <row r="878" spans="1:25" ht="15.75" customHeight="1" x14ac:dyDescent="0.2">
      <c r="A878" s="29"/>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row>
    <row r="879" spans="1:25" ht="15.75" customHeight="1" x14ac:dyDescent="0.2">
      <c r="A879" s="29"/>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row>
    <row r="880" spans="1:25" ht="15.75" customHeight="1" x14ac:dyDescent="0.2">
      <c r="A880" s="29"/>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row>
    <row r="881" spans="1:25" ht="15.75" customHeight="1" x14ac:dyDescent="0.2">
      <c r="A881" s="29"/>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row>
    <row r="882" spans="1:25" ht="15.75" customHeight="1" x14ac:dyDescent="0.2">
      <c r="A882" s="29"/>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row>
    <row r="883" spans="1:25" ht="15.75" customHeight="1" x14ac:dyDescent="0.2">
      <c r="A883" s="29"/>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row>
    <row r="884" spans="1:25" ht="15.75" customHeight="1" x14ac:dyDescent="0.2">
      <c r="A884" s="29"/>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row>
    <row r="885" spans="1:25" ht="15.75" customHeight="1" x14ac:dyDescent="0.2">
      <c r="A885" s="29"/>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row>
    <row r="886" spans="1:25" ht="15.75" customHeight="1" x14ac:dyDescent="0.2">
      <c r="A886" s="29"/>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row>
    <row r="887" spans="1:25" ht="15.75" customHeight="1" x14ac:dyDescent="0.2">
      <c r="A887" s="29"/>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row>
    <row r="888" spans="1:25" ht="15.75" customHeight="1" x14ac:dyDescent="0.2">
      <c r="A888" s="29"/>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row>
    <row r="889" spans="1:25" ht="15.75" customHeight="1" x14ac:dyDescent="0.2">
      <c r="A889" s="29"/>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row>
    <row r="890" spans="1:25" ht="15.75" customHeight="1" x14ac:dyDescent="0.2">
      <c r="A890" s="29"/>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row>
    <row r="891" spans="1:25" ht="15.75" customHeight="1" x14ac:dyDescent="0.2">
      <c r="A891" s="29"/>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row>
    <row r="892" spans="1:25" ht="15.75" customHeight="1" x14ac:dyDescent="0.2">
      <c r="A892" s="29"/>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row>
    <row r="893" spans="1:25" ht="15.75" customHeight="1" x14ac:dyDescent="0.2">
      <c r="A893" s="29"/>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row>
    <row r="894" spans="1:25" ht="15.75" customHeight="1" x14ac:dyDescent="0.2">
      <c r="A894" s="29"/>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row>
    <row r="895" spans="1:25" ht="15.75" customHeight="1" x14ac:dyDescent="0.2">
      <c r="A895" s="29"/>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row>
    <row r="896" spans="1:25" ht="15.75" customHeight="1" x14ac:dyDescent="0.2">
      <c r="A896" s="29"/>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row>
    <row r="897" spans="1:25" ht="15.75" customHeight="1" x14ac:dyDescent="0.2">
      <c r="A897" s="29"/>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row>
    <row r="898" spans="1:25" ht="15.75" customHeight="1" x14ac:dyDescent="0.2">
      <c r="A898" s="29"/>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row>
    <row r="899" spans="1:25" ht="15.75" customHeight="1" x14ac:dyDescent="0.2">
      <c r="A899" s="29"/>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row>
    <row r="900" spans="1:25" ht="15.75" customHeight="1" x14ac:dyDescent="0.2">
      <c r="A900" s="29"/>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row>
    <row r="901" spans="1:25" ht="15.75" customHeight="1" x14ac:dyDescent="0.2">
      <c r="A901" s="29"/>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row>
    <row r="902" spans="1:25" ht="15.75" customHeight="1" x14ac:dyDescent="0.2">
      <c r="A902" s="29"/>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row>
    <row r="903" spans="1:25" ht="15.75" customHeight="1" x14ac:dyDescent="0.2">
      <c r="A903" s="29"/>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row>
    <row r="904" spans="1:25" ht="15.75" customHeight="1" x14ac:dyDescent="0.2">
      <c r="A904" s="29"/>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row>
    <row r="905" spans="1:25" ht="15.75" customHeight="1" x14ac:dyDescent="0.2">
      <c r="A905" s="29"/>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row>
    <row r="906" spans="1:25" ht="15.75" customHeight="1" x14ac:dyDescent="0.2">
      <c r="A906" s="29"/>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row>
    <row r="907" spans="1:25" ht="15.75" customHeight="1" x14ac:dyDescent="0.2">
      <c r="A907" s="29"/>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row>
    <row r="908" spans="1:25" ht="15.75" customHeight="1" x14ac:dyDescent="0.2">
      <c r="A908" s="29"/>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row>
    <row r="909" spans="1:25" ht="15.75" customHeight="1" x14ac:dyDescent="0.2">
      <c r="A909" s="29"/>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row>
    <row r="910" spans="1:25" ht="15.75" customHeight="1" x14ac:dyDescent="0.2">
      <c r="A910" s="29"/>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row>
    <row r="911" spans="1:25" ht="15.75" customHeight="1" x14ac:dyDescent="0.2">
      <c r="A911" s="29"/>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row>
    <row r="912" spans="1:25" ht="15.75" customHeight="1" x14ac:dyDescent="0.2">
      <c r="A912" s="29"/>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row>
    <row r="913" spans="1:25" ht="15.75" customHeight="1" x14ac:dyDescent="0.2">
      <c r="A913" s="29"/>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row>
    <row r="914" spans="1:25" ht="15.75" customHeight="1" x14ac:dyDescent="0.2">
      <c r="A914" s="29"/>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row>
    <row r="915" spans="1:25" ht="15.75" customHeight="1" x14ac:dyDescent="0.2">
      <c r="A915" s="29"/>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row>
    <row r="916" spans="1:25" ht="15.75" customHeight="1" x14ac:dyDescent="0.2">
      <c r="A916" s="29"/>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row>
    <row r="917" spans="1:25" ht="15.75" customHeight="1" x14ac:dyDescent="0.2">
      <c r="A917" s="29"/>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row>
    <row r="918" spans="1:25" ht="15.75" customHeight="1" x14ac:dyDescent="0.2">
      <c r="A918" s="29"/>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row>
    <row r="919" spans="1:25" ht="15.75" customHeight="1" x14ac:dyDescent="0.2">
      <c r="A919" s="29"/>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row>
    <row r="920" spans="1:25" ht="15.75" customHeight="1" x14ac:dyDescent="0.2">
      <c r="A920" s="29"/>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row>
    <row r="921" spans="1:25" ht="15.75" customHeight="1" x14ac:dyDescent="0.2">
      <c r="A921" s="29"/>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row>
    <row r="922" spans="1:25" ht="15.75" customHeight="1" x14ac:dyDescent="0.2">
      <c r="A922" s="29"/>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row>
    <row r="923" spans="1:25" ht="15.75" customHeight="1" x14ac:dyDescent="0.2">
      <c r="A923" s="29"/>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row>
    <row r="924" spans="1:25" ht="15.75" customHeight="1" x14ac:dyDescent="0.2">
      <c r="A924" s="29"/>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row>
    <row r="925" spans="1:25" ht="15.75" customHeight="1" x14ac:dyDescent="0.2">
      <c r="A925" s="29"/>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row>
    <row r="926" spans="1:25" ht="15.75" customHeight="1" x14ac:dyDescent="0.2">
      <c r="A926" s="29"/>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row>
    <row r="927" spans="1:25" ht="15.75" customHeight="1" x14ac:dyDescent="0.2">
      <c r="A927" s="29"/>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row>
    <row r="928" spans="1:25" ht="15.75" customHeight="1" x14ac:dyDescent="0.2">
      <c r="A928" s="29"/>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row>
    <row r="929" spans="1:25" ht="15.75" customHeight="1" x14ac:dyDescent="0.2">
      <c r="A929" s="29"/>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row>
    <row r="930" spans="1:25" ht="15.75" customHeight="1" x14ac:dyDescent="0.2">
      <c r="A930" s="29"/>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row>
    <row r="931" spans="1:25" ht="15.75" customHeight="1" x14ac:dyDescent="0.2">
      <c r="A931" s="29"/>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row>
    <row r="932" spans="1:25" ht="15.75" customHeight="1" x14ac:dyDescent="0.2">
      <c r="A932" s="29"/>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row>
    <row r="933" spans="1:25" ht="15.75" customHeight="1" x14ac:dyDescent="0.2">
      <c r="A933" s="29"/>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row>
    <row r="934" spans="1:25" ht="15.75" customHeight="1" x14ac:dyDescent="0.2">
      <c r="A934" s="29"/>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row>
    <row r="935" spans="1:25" ht="15.75" customHeight="1" x14ac:dyDescent="0.2">
      <c r="A935" s="29"/>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row>
    <row r="936" spans="1:25" ht="15.75" customHeight="1" x14ac:dyDescent="0.2">
      <c r="A936" s="29"/>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row>
    <row r="937" spans="1:25" ht="15.75" customHeight="1" x14ac:dyDescent="0.2">
      <c r="A937" s="29"/>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row>
    <row r="938" spans="1:25" ht="15.75" customHeight="1" x14ac:dyDescent="0.2">
      <c r="A938" s="29"/>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row>
    <row r="939" spans="1:25" ht="15.75" customHeight="1" x14ac:dyDescent="0.2">
      <c r="A939" s="29"/>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row>
    <row r="940" spans="1:25" ht="15.75" customHeight="1" x14ac:dyDescent="0.2">
      <c r="A940" s="29"/>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row>
    <row r="941" spans="1:25" ht="15.75" customHeight="1" x14ac:dyDescent="0.2">
      <c r="A941" s="29"/>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row>
    <row r="942" spans="1:25" ht="15.75" customHeight="1" x14ac:dyDescent="0.2">
      <c r="A942" s="29"/>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row>
    <row r="943" spans="1:25" ht="15.75" customHeight="1" x14ac:dyDescent="0.2">
      <c r="A943" s="29"/>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row>
    <row r="944" spans="1:25" ht="15.75" customHeight="1" x14ac:dyDescent="0.2">
      <c r="A944" s="29"/>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row>
    <row r="945" spans="1:25" ht="15.75" customHeight="1" x14ac:dyDescent="0.2">
      <c r="A945" s="29"/>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row>
    <row r="946" spans="1:25" ht="15.75" customHeight="1" x14ac:dyDescent="0.2">
      <c r="A946" s="29"/>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row>
    <row r="947" spans="1:25" ht="15.75" customHeight="1" x14ac:dyDescent="0.2">
      <c r="A947" s="29"/>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row>
    <row r="948" spans="1:25" ht="15.75" customHeight="1" x14ac:dyDescent="0.2">
      <c r="A948" s="29"/>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row>
    <row r="949" spans="1:25" ht="15.75" customHeight="1" x14ac:dyDescent="0.2">
      <c r="A949" s="29"/>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row>
    <row r="950" spans="1:25" ht="15.75" customHeight="1" x14ac:dyDescent="0.2">
      <c r="A950" s="29"/>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row>
    <row r="951" spans="1:25" ht="15.75" customHeight="1" x14ac:dyDescent="0.2">
      <c r="A951" s="29"/>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row>
    <row r="952" spans="1:25" ht="15.75" customHeight="1" x14ac:dyDescent="0.2">
      <c r="A952" s="29"/>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row>
    <row r="953" spans="1:25" ht="15.75" customHeight="1" x14ac:dyDescent="0.2">
      <c r="A953" s="29"/>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row>
    <row r="954" spans="1:25" ht="15.75" customHeight="1" x14ac:dyDescent="0.2">
      <c r="A954" s="29"/>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row>
    <row r="955" spans="1:25" ht="15.75" customHeight="1" x14ac:dyDescent="0.2">
      <c r="A955" s="29"/>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row>
    <row r="956" spans="1:25" ht="15.75" customHeight="1" x14ac:dyDescent="0.2">
      <c r="A956" s="29"/>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row>
    <row r="957" spans="1:25" ht="15.75" customHeight="1" x14ac:dyDescent="0.2">
      <c r="A957" s="29"/>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row>
    <row r="958" spans="1:25" ht="15.75" customHeight="1" x14ac:dyDescent="0.2">
      <c r="A958" s="29"/>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row>
    <row r="959" spans="1:25" ht="15.75" customHeight="1" x14ac:dyDescent="0.2">
      <c r="A959" s="29"/>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row>
    <row r="960" spans="1:25" ht="15.75" customHeight="1" x14ac:dyDescent="0.2">
      <c r="A960" s="29"/>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row>
    <row r="961" spans="1:25" ht="15.75" customHeight="1" x14ac:dyDescent="0.2">
      <c r="A961" s="29"/>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row>
    <row r="962" spans="1:25" ht="15.75" customHeight="1" x14ac:dyDescent="0.2">
      <c r="A962" s="29"/>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row>
    <row r="963" spans="1:25" ht="15.75" customHeight="1" x14ac:dyDescent="0.2">
      <c r="A963" s="29"/>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row>
    <row r="964" spans="1:25" ht="15.75" customHeight="1" x14ac:dyDescent="0.2">
      <c r="A964" s="29"/>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row>
    <row r="965" spans="1:25" ht="15.75" customHeight="1" x14ac:dyDescent="0.2">
      <c r="A965" s="29"/>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row>
    <row r="966" spans="1:25" ht="15.75" customHeight="1" x14ac:dyDescent="0.2">
      <c r="A966" s="29"/>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row>
    <row r="967" spans="1:25" ht="15.75" customHeight="1" x14ac:dyDescent="0.2">
      <c r="A967" s="29"/>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row>
    <row r="968" spans="1:25" ht="15.75" customHeight="1" x14ac:dyDescent="0.2">
      <c r="A968" s="29"/>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row>
    <row r="969" spans="1:25" ht="15.75" customHeight="1" x14ac:dyDescent="0.2">
      <c r="A969" s="29"/>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row>
    <row r="970" spans="1:25" ht="15.75" customHeight="1" x14ac:dyDescent="0.2">
      <c r="A970" s="29"/>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row>
    <row r="971" spans="1:25" ht="15.75" customHeight="1" x14ac:dyDescent="0.2">
      <c r="A971" s="29"/>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row>
    <row r="972" spans="1:25" ht="15.75" customHeight="1" x14ac:dyDescent="0.2">
      <c r="A972" s="29"/>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row>
    <row r="973" spans="1:25" ht="15.75" customHeight="1" x14ac:dyDescent="0.2">
      <c r="A973" s="29"/>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row>
    <row r="974" spans="1:25" ht="15.75" customHeight="1" x14ac:dyDescent="0.2">
      <c r="A974" s="29"/>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row>
    <row r="975" spans="1:25" ht="15.75" customHeight="1" x14ac:dyDescent="0.2">
      <c r="A975" s="29"/>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row>
    <row r="976" spans="1:25" ht="15.75" customHeight="1" x14ac:dyDescent="0.2">
      <c r="A976" s="29"/>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row>
    <row r="977" spans="1:25" ht="15.75" customHeight="1" x14ac:dyDescent="0.2">
      <c r="A977" s="29"/>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row>
    <row r="978" spans="1:25" ht="15.75" customHeight="1" x14ac:dyDescent="0.2">
      <c r="A978" s="29"/>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row>
    <row r="979" spans="1:25" ht="15.75" customHeight="1" x14ac:dyDescent="0.2">
      <c r="A979" s="29"/>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row>
    <row r="980" spans="1:25" ht="15.75" customHeight="1" x14ac:dyDescent="0.2">
      <c r="A980" s="29"/>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row>
    <row r="981" spans="1:25" ht="15.75" customHeight="1" x14ac:dyDescent="0.2">
      <c r="A981" s="29"/>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row>
    <row r="982" spans="1:25" ht="15.75" customHeight="1" x14ac:dyDescent="0.2">
      <c r="A982" s="29"/>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row>
    <row r="983" spans="1:25" ht="15.75" customHeight="1" x14ac:dyDescent="0.2">
      <c r="A983" s="29"/>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row>
    <row r="984" spans="1:25" ht="15.75" customHeight="1" x14ac:dyDescent="0.2">
      <c r="A984" s="29"/>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row>
    <row r="985" spans="1:25" ht="15.75" customHeight="1" x14ac:dyDescent="0.2">
      <c r="A985" s="29"/>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row>
    <row r="986" spans="1:25" ht="15.75" customHeight="1" x14ac:dyDescent="0.2">
      <c r="A986" s="29"/>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row>
    <row r="987" spans="1:25" ht="15.75" customHeight="1" x14ac:dyDescent="0.2">
      <c r="A987" s="29"/>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row>
    <row r="988" spans="1:25" ht="15.75" customHeight="1" x14ac:dyDescent="0.2">
      <c r="A988" s="29"/>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row>
    <row r="989" spans="1:25" ht="15.75" customHeight="1" x14ac:dyDescent="0.2">
      <c r="A989" s="29"/>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row>
    <row r="990" spans="1:25" ht="15.75" customHeight="1" x14ac:dyDescent="0.2">
      <c r="A990" s="29"/>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row>
    <row r="991" spans="1:25" ht="15.75" customHeight="1" x14ac:dyDescent="0.2">
      <c r="A991" s="29"/>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row>
    <row r="992" spans="1:25" ht="15.75" customHeight="1" x14ac:dyDescent="0.2">
      <c r="A992" s="29"/>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row>
    <row r="993" spans="1:25" ht="15.75" customHeight="1" x14ac:dyDescent="0.2">
      <c r="A993" s="29"/>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row>
    <row r="994" spans="1:25" ht="15.75" customHeight="1" x14ac:dyDescent="0.2">
      <c r="A994" s="29"/>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row>
    <row r="995" spans="1:25" ht="15.75" customHeight="1" x14ac:dyDescent="0.2">
      <c r="A995" s="29"/>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row>
    <row r="996" spans="1:25" ht="15.75" customHeight="1" x14ac:dyDescent="0.2">
      <c r="A996" s="29"/>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row>
    <row r="997" spans="1:25" ht="15.75" customHeight="1" x14ac:dyDescent="0.2">
      <c r="A997" s="29"/>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row>
    <row r="998" spans="1:25" ht="15.75" customHeight="1" x14ac:dyDescent="0.2">
      <c r="A998" s="29"/>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row>
    <row r="999" spans="1:25" ht="15.75" customHeight="1" x14ac:dyDescent="0.2">
      <c r="A999" s="29"/>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row>
    <row r="1000" spans="1:25" ht="15.75" customHeight="1" x14ac:dyDescent="0.2">
      <c r="A1000" s="29"/>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row>
    <row r="1001" spans="1:25" ht="15.75" customHeight="1" x14ac:dyDescent="0.2">
      <c r="A1001" s="29"/>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row>
  </sheetData>
  <autoFilter ref="A1:Y2" xr:uid="{00000000-0009-0000-0000-000003000000}">
    <filterColumn colId="13" showButton="0"/>
    <filterColumn colId="16" showButton="0"/>
    <filterColumn colId="17" showButton="0"/>
    <filterColumn colId="22" showButton="0"/>
  </autoFilter>
  <mergeCells count="3">
    <mergeCell ref="N1:O1"/>
    <mergeCell ref="Q1:S1"/>
    <mergeCell ref="W1:X1"/>
  </mergeCells>
  <pageMargins left="0.7" right="0.7" top="0.75" bottom="0.75" header="0.3" footer="0.3"/>
  <pageSetup orientation="portrait"/>
  <headerFooter>
    <oddHeader>&amp;L&amp;C&amp;R</oddHeader>
    <oddFooter>&amp;L&amp;C&amp;R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8C378-189B-61F9-3418-41DF488D049F}">
  <sheetPr>
    <outlinePr summaryBelow="0" summaryRight="0"/>
  </sheetPr>
  <dimension ref="A1:Z996"/>
  <sheetViews>
    <sheetView showGridLines="0" workbookViewId="0">
      <pane xSplit="1" ySplit="2" topLeftCell="B3" activePane="bottomRight" state="frozen"/>
      <selection pane="topRight" activeCell="B1" sqref="B1"/>
      <selection pane="bottomLeft" activeCell="A3" sqref="A3"/>
      <selection pane="bottomRight" sqref="A1:A2"/>
    </sheetView>
  </sheetViews>
  <sheetFormatPr defaultColWidth="12.5703125" defaultRowHeight="15.75" customHeight="1" x14ac:dyDescent="0.2"/>
  <cols>
    <col min="1" max="1" width="21.85546875" customWidth="1"/>
    <col min="2" max="2" width="23.28515625" customWidth="1"/>
    <col min="3" max="3" width="33.28515625" customWidth="1"/>
    <col min="4" max="4" width="62.42578125" customWidth="1"/>
    <col min="5" max="5" width="31.5703125" customWidth="1"/>
    <col min="6" max="6" width="17.85546875" customWidth="1"/>
    <col min="7" max="8" width="21.140625" customWidth="1"/>
    <col min="9" max="9" width="31.140625" customWidth="1"/>
    <col min="10" max="10" width="24.7109375" customWidth="1"/>
    <col min="11" max="11" width="56.42578125" customWidth="1"/>
    <col min="12" max="12" width="31" customWidth="1"/>
    <col min="14" max="14" width="34.42578125" customWidth="1"/>
    <col min="15" max="15" width="16.28515625" customWidth="1"/>
    <col min="16" max="16" width="8" customWidth="1"/>
    <col min="17" max="17" width="24.42578125" customWidth="1"/>
    <col min="18" max="18" width="48.7109375" customWidth="1"/>
    <col min="19" max="19" width="10.140625" customWidth="1"/>
    <col min="20" max="20" width="14.5703125" customWidth="1"/>
    <col min="21" max="21" width="25.5703125" customWidth="1"/>
    <col min="22" max="22" width="20.85546875" customWidth="1"/>
    <col min="23" max="23" width="46.28515625" customWidth="1"/>
    <col min="24" max="24" width="22.28515625" customWidth="1"/>
    <col min="25" max="25" width="11.140625" customWidth="1"/>
    <col min="26" max="26" width="108.7109375" customWidth="1"/>
  </cols>
  <sheetData>
    <row r="1" spans="1:26" ht="30.75" customHeight="1" x14ac:dyDescent="0.2">
      <c r="A1" s="84" t="s">
        <v>83</v>
      </c>
      <c r="B1" s="84" t="s">
        <v>18</v>
      </c>
      <c r="C1" s="86" t="s">
        <v>84</v>
      </c>
      <c r="D1" s="86" t="s">
        <v>85</v>
      </c>
      <c r="E1" s="86" t="s">
        <v>86</v>
      </c>
      <c r="F1" s="86" t="s">
        <v>87</v>
      </c>
      <c r="G1" s="86" t="s">
        <v>33</v>
      </c>
      <c r="H1" s="84" t="s">
        <v>36</v>
      </c>
      <c r="I1" s="86" t="s">
        <v>88</v>
      </c>
      <c r="J1" s="86" t="s">
        <v>89</v>
      </c>
      <c r="K1" s="86" t="s">
        <v>90</v>
      </c>
      <c r="L1" s="86" t="s">
        <v>91</v>
      </c>
      <c r="M1" s="6" t="s">
        <v>47</v>
      </c>
      <c r="N1" s="86" t="s">
        <v>92</v>
      </c>
      <c r="O1" s="87" t="s">
        <v>50</v>
      </c>
      <c r="P1" s="88"/>
      <c r="Q1" s="86" t="s">
        <v>93</v>
      </c>
      <c r="R1" s="87" t="s">
        <v>94</v>
      </c>
      <c r="S1" s="89"/>
      <c r="T1" s="88"/>
      <c r="U1" s="86" t="s">
        <v>95</v>
      </c>
      <c r="V1" s="86" t="s">
        <v>96</v>
      </c>
      <c r="W1" s="86" t="s">
        <v>53</v>
      </c>
      <c r="X1" s="87" t="s">
        <v>97</v>
      </c>
      <c r="Y1" s="88"/>
      <c r="Z1" s="6" t="s">
        <v>98</v>
      </c>
    </row>
    <row r="2" spans="1:26" ht="15.75" customHeight="1" x14ac:dyDescent="0.2">
      <c r="A2" s="85"/>
      <c r="B2" s="85"/>
      <c r="C2" s="85"/>
      <c r="D2" s="85"/>
      <c r="E2" s="85"/>
      <c r="F2" s="85"/>
      <c r="G2" s="85"/>
      <c r="H2" s="85"/>
      <c r="I2" s="85"/>
      <c r="J2" s="85"/>
      <c r="K2" s="85"/>
      <c r="L2" s="85"/>
      <c r="M2" s="6" t="s">
        <v>99</v>
      </c>
      <c r="N2" s="85"/>
      <c r="O2" s="6" t="s">
        <v>100</v>
      </c>
      <c r="P2" s="6" t="s">
        <v>18</v>
      </c>
      <c r="Q2" s="85"/>
      <c r="R2" s="6" t="s">
        <v>101</v>
      </c>
      <c r="S2" s="6" t="s">
        <v>83</v>
      </c>
      <c r="T2" s="6" t="s">
        <v>102</v>
      </c>
      <c r="U2" s="85"/>
      <c r="V2" s="85"/>
      <c r="W2" s="85"/>
      <c r="X2" s="6" t="s">
        <v>101</v>
      </c>
      <c r="Y2" s="6" t="s">
        <v>83</v>
      </c>
      <c r="Z2" s="6"/>
    </row>
    <row r="3" spans="1:26" ht="15.75" customHeight="1" x14ac:dyDescent="0.2">
      <c r="A3" s="13" t="s">
        <v>503</v>
      </c>
      <c r="B3" s="31" t="s">
        <v>504</v>
      </c>
      <c r="C3" s="32" t="s">
        <v>505</v>
      </c>
      <c r="D3" s="33" t="s">
        <v>19</v>
      </c>
      <c r="E3" s="33" t="s">
        <v>506</v>
      </c>
      <c r="F3" s="34" t="s">
        <v>394</v>
      </c>
      <c r="G3" s="33" t="s">
        <v>507</v>
      </c>
      <c r="H3" s="34" t="s">
        <v>508</v>
      </c>
      <c r="I3" s="33" t="s">
        <v>394</v>
      </c>
      <c r="J3" s="34" t="s">
        <v>509</v>
      </c>
      <c r="K3" s="34" t="s">
        <v>510</v>
      </c>
      <c r="L3" s="33" t="s">
        <v>511</v>
      </c>
      <c r="M3" s="34" t="s">
        <v>411</v>
      </c>
      <c r="N3" s="33" t="s">
        <v>512</v>
      </c>
      <c r="O3" s="33" t="s">
        <v>394</v>
      </c>
      <c r="P3" s="33" t="s">
        <v>394</v>
      </c>
      <c r="Q3" s="33" t="s">
        <v>394</v>
      </c>
      <c r="R3" s="35" t="s">
        <v>513</v>
      </c>
      <c r="S3" s="33" t="s">
        <v>394</v>
      </c>
      <c r="T3" s="34" t="s">
        <v>115</v>
      </c>
      <c r="U3" s="34" t="s">
        <v>19</v>
      </c>
      <c r="V3" s="34" t="s">
        <v>19</v>
      </c>
      <c r="W3" s="34" t="s">
        <v>514</v>
      </c>
      <c r="X3" s="32" t="s">
        <v>515</v>
      </c>
      <c r="Y3" s="34" t="s">
        <v>394</v>
      </c>
      <c r="Z3" s="36" t="s">
        <v>516</v>
      </c>
    </row>
    <row r="4" spans="1:26" ht="15.75" customHeight="1" x14ac:dyDescent="0.2">
      <c r="A4" s="13" t="s">
        <v>517</v>
      </c>
      <c r="B4" s="34" t="s">
        <v>518</v>
      </c>
      <c r="C4" s="32" t="s">
        <v>505</v>
      </c>
      <c r="D4" s="34" t="s">
        <v>519</v>
      </c>
      <c r="E4" s="33" t="s">
        <v>506</v>
      </c>
      <c r="F4" s="34" t="s">
        <v>394</v>
      </c>
      <c r="G4" s="34" t="s">
        <v>520</v>
      </c>
      <c r="H4" s="34" t="s">
        <v>508</v>
      </c>
      <c r="I4" s="35" t="s">
        <v>521</v>
      </c>
      <c r="J4" s="34" t="s">
        <v>522</v>
      </c>
      <c r="K4" s="34" t="s">
        <v>523</v>
      </c>
      <c r="L4" s="33" t="s">
        <v>524</v>
      </c>
      <c r="M4" s="34" t="s">
        <v>411</v>
      </c>
      <c r="N4" s="33" t="s">
        <v>525</v>
      </c>
      <c r="O4" s="34" t="s">
        <v>394</v>
      </c>
      <c r="P4" s="34" t="s">
        <v>394</v>
      </c>
      <c r="Q4" s="34" t="s">
        <v>394</v>
      </c>
      <c r="R4" s="35" t="s">
        <v>513</v>
      </c>
      <c r="S4" s="37" t="s">
        <v>394</v>
      </c>
      <c r="T4" s="32" t="s">
        <v>526</v>
      </c>
      <c r="U4" s="34" t="s">
        <v>527</v>
      </c>
      <c r="V4" s="34" t="s">
        <v>528</v>
      </c>
      <c r="W4" s="34" t="s">
        <v>529</v>
      </c>
      <c r="X4" s="32" t="s">
        <v>530</v>
      </c>
      <c r="Y4" s="32" t="s">
        <v>531</v>
      </c>
      <c r="Z4" s="36" t="s">
        <v>532</v>
      </c>
    </row>
    <row r="5" spans="1:26" ht="15.75" customHeight="1" x14ac:dyDescent="0.2">
      <c r="A5" s="13" t="s">
        <v>533</v>
      </c>
      <c r="B5" s="33" t="s">
        <v>394</v>
      </c>
      <c r="C5" s="33" t="s">
        <v>394</v>
      </c>
      <c r="D5" s="33" t="s">
        <v>394</v>
      </c>
      <c r="E5" s="33" t="s">
        <v>394</v>
      </c>
      <c r="F5" s="33" t="s">
        <v>394</v>
      </c>
      <c r="G5" s="33" t="s">
        <v>394</v>
      </c>
      <c r="H5" s="34" t="s">
        <v>534</v>
      </c>
      <c r="I5" s="33" t="s">
        <v>394</v>
      </c>
      <c r="J5" s="33" t="s">
        <v>394</v>
      </c>
      <c r="K5" s="33" t="s">
        <v>394</v>
      </c>
      <c r="L5" s="33" t="s">
        <v>394</v>
      </c>
      <c r="M5" s="34" t="s">
        <v>411</v>
      </c>
      <c r="N5" s="33" t="s">
        <v>411</v>
      </c>
      <c r="O5" s="33" t="s">
        <v>394</v>
      </c>
      <c r="P5" s="33" t="s">
        <v>394</v>
      </c>
      <c r="Q5" s="33" t="s">
        <v>394</v>
      </c>
      <c r="R5" s="33" t="s">
        <v>394</v>
      </c>
      <c r="S5" s="33" t="s">
        <v>394</v>
      </c>
      <c r="T5" s="33" t="s">
        <v>394</v>
      </c>
      <c r="U5" s="33"/>
      <c r="V5" s="35" t="s">
        <v>394</v>
      </c>
      <c r="W5" s="35" t="s">
        <v>394</v>
      </c>
      <c r="X5" s="33" t="s">
        <v>394</v>
      </c>
      <c r="Y5" s="33" t="s">
        <v>394</v>
      </c>
      <c r="Z5" s="38"/>
    </row>
    <row r="6" spans="1:26" ht="70.5" customHeight="1" x14ac:dyDescent="0.2">
      <c r="A6" s="13" t="s">
        <v>535</v>
      </c>
      <c r="B6" s="39" t="s">
        <v>536</v>
      </c>
      <c r="C6" s="32" t="s">
        <v>505</v>
      </c>
      <c r="D6" s="32" t="s">
        <v>537</v>
      </c>
      <c r="E6" s="35" t="s">
        <v>394</v>
      </c>
      <c r="F6" s="35" t="s">
        <v>394</v>
      </c>
      <c r="G6" s="35" t="s">
        <v>394</v>
      </c>
      <c r="H6" s="32" t="s">
        <v>538</v>
      </c>
      <c r="I6" s="35" t="s">
        <v>539</v>
      </c>
      <c r="J6" s="35" t="s">
        <v>540</v>
      </c>
      <c r="K6" s="32" t="s">
        <v>541</v>
      </c>
      <c r="L6" s="35" t="s">
        <v>524</v>
      </c>
      <c r="M6" s="32" t="s">
        <v>411</v>
      </c>
      <c r="N6" s="33" t="s">
        <v>542</v>
      </c>
      <c r="O6" s="35" t="s">
        <v>394</v>
      </c>
      <c r="P6" s="35" t="s">
        <v>394</v>
      </c>
      <c r="Q6" s="35" t="s">
        <v>394</v>
      </c>
      <c r="R6" s="35" t="s">
        <v>513</v>
      </c>
      <c r="S6" s="35" t="s">
        <v>394</v>
      </c>
      <c r="T6" s="32" t="s">
        <v>526</v>
      </c>
      <c r="U6" s="35" t="s">
        <v>19</v>
      </c>
      <c r="V6" s="35" t="s">
        <v>394</v>
      </c>
      <c r="W6" s="32" t="s">
        <v>543</v>
      </c>
      <c r="X6" s="32" t="s">
        <v>530</v>
      </c>
      <c r="Y6" s="32" t="s">
        <v>531</v>
      </c>
      <c r="Z6" s="36" t="s">
        <v>544</v>
      </c>
    </row>
    <row r="7" spans="1:26" ht="60.75" customHeight="1" x14ac:dyDescent="0.2">
      <c r="A7" s="13" t="s">
        <v>545</v>
      </c>
      <c r="B7" s="33" t="s">
        <v>394</v>
      </c>
      <c r="C7" s="33" t="s">
        <v>394</v>
      </c>
      <c r="D7" s="33" t="s">
        <v>546</v>
      </c>
      <c r="E7" s="33" t="s">
        <v>506</v>
      </c>
      <c r="F7" s="33" t="s">
        <v>394</v>
      </c>
      <c r="G7" s="33" t="s">
        <v>507</v>
      </c>
      <c r="H7" s="34" t="s">
        <v>534</v>
      </c>
      <c r="I7" s="33" t="s">
        <v>394</v>
      </c>
      <c r="J7" s="33" t="s">
        <v>394</v>
      </c>
      <c r="K7" s="33" t="s">
        <v>547</v>
      </c>
      <c r="L7" s="33" t="s">
        <v>524</v>
      </c>
      <c r="M7" s="34" t="s">
        <v>411</v>
      </c>
      <c r="N7" s="33" t="s">
        <v>411</v>
      </c>
      <c r="O7" s="33" t="s">
        <v>394</v>
      </c>
      <c r="P7" s="33" t="s">
        <v>394</v>
      </c>
      <c r="Q7" s="33" t="s">
        <v>394</v>
      </c>
      <c r="R7" s="33" t="s">
        <v>394</v>
      </c>
      <c r="S7" s="33" t="s">
        <v>394</v>
      </c>
      <c r="T7" s="34" t="s">
        <v>548</v>
      </c>
      <c r="U7" s="33"/>
      <c r="V7" s="38"/>
      <c r="W7" s="35" t="s">
        <v>394</v>
      </c>
      <c r="X7" s="33" t="s">
        <v>394</v>
      </c>
      <c r="Y7" s="33" t="s">
        <v>394</v>
      </c>
      <c r="Z7" s="38"/>
    </row>
    <row r="8" spans="1:26" ht="57.75" customHeight="1" x14ac:dyDescent="0.2">
      <c r="A8" s="13" t="s">
        <v>549</v>
      </c>
      <c r="B8" s="34" t="s">
        <v>550</v>
      </c>
      <c r="C8" s="32" t="s">
        <v>505</v>
      </c>
      <c r="D8" s="33" t="s">
        <v>19</v>
      </c>
      <c r="E8" s="34" t="s">
        <v>551</v>
      </c>
      <c r="F8" s="33" t="s">
        <v>394</v>
      </c>
      <c r="G8" s="34" t="s">
        <v>552</v>
      </c>
      <c r="H8" s="34" t="s">
        <v>508</v>
      </c>
      <c r="I8" s="33" t="s">
        <v>394</v>
      </c>
      <c r="J8" s="33" t="s">
        <v>394</v>
      </c>
      <c r="K8" s="34" t="s">
        <v>553</v>
      </c>
      <c r="L8" s="33" t="s">
        <v>554</v>
      </c>
      <c r="M8" s="34" t="s">
        <v>411</v>
      </c>
      <c r="N8" s="33" t="s">
        <v>555</v>
      </c>
      <c r="O8" s="33" t="s">
        <v>394</v>
      </c>
      <c r="P8" s="33" t="s">
        <v>394</v>
      </c>
      <c r="Q8" s="33" t="s">
        <v>394</v>
      </c>
      <c r="R8" s="35" t="s">
        <v>513</v>
      </c>
      <c r="S8" s="33" t="s">
        <v>394</v>
      </c>
      <c r="T8" s="33" t="s">
        <v>556</v>
      </c>
      <c r="U8" s="33" t="s">
        <v>557</v>
      </c>
      <c r="V8" s="33" t="s">
        <v>558</v>
      </c>
      <c r="W8" s="35" t="s">
        <v>559</v>
      </c>
      <c r="X8" s="32" t="s">
        <v>560</v>
      </c>
      <c r="Y8" s="33" t="s">
        <v>394</v>
      </c>
      <c r="Z8" s="36" t="s">
        <v>561</v>
      </c>
    </row>
    <row r="9" spans="1:26" ht="75" customHeight="1" x14ac:dyDescent="0.2">
      <c r="A9" s="13" t="s">
        <v>562</v>
      </c>
      <c r="B9" s="33" t="s">
        <v>394</v>
      </c>
      <c r="C9" s="33" t="s">
        <v>394</v>
      </c>
      <c r="D9" s="34" t="s">
        <v>563</v>
      </c>
      <c r="E9" s="34" t="s">
        <v>551</v>
      </c>
      <c r="F9" s="33" t="s">
        <v>394</v>
      </c>
      <c r="G9" s="33" t="s">
        <v>507</v>
      </c>
      <c r="H9" s="34" t="s">
        <v>538</v>
      </c>
      <c r="I9" s="33" t="s">
        <v>394</v>
      </c>
      <c r="J9" s="33" t="s">
        <v>394</v>
      </c>
      <c r="K9" s="33" t="s">
        <v>564</v>
      </c>
      <c r="L9" s="33" t="s">
        <v>565</v>
      </c>
      <c r="M9" s="34" t="s">
        <v>411</v>
      </c>
      <c r="N9" s="33" t="s">
        <v>411</v>
      </c>
      <c r="O9" s="33" t="s">
        <v>394</v>
      </c>
      <c r="P9" s="33" t="s">
        <v>394</v>
      </c>
      <c r="Q9" s="33" t="s">
        <v>394</v>
      </c>
      <c r="R9" s="33" t="s">
        <v>394</v>
      </c>
      <c r="S9" s="33" t="s">
        <v>394</v>
      </c>
      <c r="T9" s="34" t="s">
        <v>566</v>
      </c>
      <c r="U9" s="34" t="s">
        <v>19</v>
      </c>
      <c r="V9" s="38"/>
      <c r="W9" s="33" t="s">
        <v>394</v>
      </c>
      <c r="X9" s="33" t="s">
        <v>394</v>
      </c>
      <c r="Y9" s="33" t="s">
        <v>394</v>
      </c>
      <c r="Z9" s="38"/>
    </row>
    <row r="10" spans="1:26" ht="15.75" customHeight="1" x14ac:dyDescent="0.2">
      <c r="A10" s="24"/>
      <c r="B10" s="40"/>
      <c r="C10" s="40"/>
      <c r="D10" s="40"/>
      <c r="E10" s="40"/>
      <c r="F10" s="40"/>
      <c r="G10" s="40"/>
      <c r="H10" s="41"/>
      <c r="I10" s="40"/>
      <c r="J10" s="40"/>
      <c r="K10" s="40"/>
      <c r="L10" s="42"/>
      <c r="M10" s="40"/>
      <c r="N10" s="40"/>
      <c r="O10" s="40"/>
      <c r="P10" s="40"/>
      <c r="Q10" s="40"/>
      <c r="R10" s="42"/>
      <c r="S10" s="42"/>
      <c r="T10" s="42"/>
      <c r="U10" s="40"/>
      <c r="V10" s="40"/>
      <c r="W10" s="40"/>
      <c r="X10" s="40"/>
      <c r="Y10" s="40"/>
      <c r="Z10" s="42"/>
    </row>
    <row r="11" spans="1:26" ht="15.75" customHeight="1" x14ac:dyDescent="0.2">
      <c r="A11" s="24"/>
      <c r="B11" s="40"/>
      <c r="C11" s="42"/>
      <c r="D11" s="40"/>
      <c r="E11" s="40"/>
      <c r="F11" s="40"/>
      <c r="G11" s="40"/>
      <c r="H11" s="41"/>
      <c r="I11" s="40"/>
      <c r="J11" s="40"/>
      <c r="K11" s="40"/>
      <c r="L11" s="40"/>
      <c r="M11" s="40"/>
      <c r="N11" s="40"/>
      <c r="O11" s="40"/>
      <c r="P11" s="40"/>
      <c r="Q11" s="40"/>
      <c r="R11" s="42"/>
      <c r="S11" s="42"/>
      <c r="T11" s="42"/>
      <c r="U11" s="40"/>
      <c r="V11" s="40"/>
      <c r="W11" s="40"/>
      <c r="X11" s="40"/>
      <c r="Y11" s="40"/>
      <c r="Z11" s="42"/>
    </row>
    <row r="12" spans="1:26" ht="15.75" customHeight="1" x14ac:dyDescent="0.2">
      <c r="A12" s="24"/>
      <c r="B12" s="43"/>
      <c r="C12" s="42"/>
      <c r="D12" s="40"/>
      <c r="E12" s="40"/>
      <c r="F12" s="40"/>
      <c r="G12" s="40"/>
      <c r="H12" s="41"/>
      <c r="I12" s="40"/>
      <c r="J12" s="40"/>
      <c r="K12" s="40"/>
      <c r="L12" s="40"/>
      <c r="M12" s="40"/>
      <c r="N12" s="40"/>
      <c r="O12" s="40"/>
      <c r="P12" s="40"/>
      <c r="Q12" s="40"/>
      <c r="R12" s="42"/>
      <c r="S12" s="42"/>
      <c r="T12" s="42"/>
      <c r="U12" s="40"/>
      <c r="V12" s="40"/>
      <c r="W12" s="40"/>
      <c r="X12" s="40"/>
      <c r="Y12" s="40"/>
      <c r="Z12" s="44"/>
    </row>
    <row r="13" spans="1:26" ht="15.75" customHeight="1" x14ac:dyDescent="0.2">
      <c r="A13" s="24"/>
      <c r="B13" s="43"/>
      <c r="C13" s="40"/>
      <c r="D13" s="40"/>
      <c r="E13" s="40"/>
      <c r="F13" s="40"/>
      <c r="G13" s="40"/>
      <c r="H13" s="41"/>
      <c r="I13" s="40"/>
      <c r="J13" s="40"/>
      <c r="K13" s="40"/>
      <c r="L13" s="40"/>
      <c r="M13" s="40"/>
      <c r="N13" s="40"/>
      <c r="O13" s="40"/>
      <c r="P13" s="40"/>
      <c r="Q13" s="40"/>
      <c r="R13" s="40"/>
      <c r="S13" s="40"/>
      <c r="T13" s="40"/>
      <c r="U13" s="40"/>
      <c r="V13" s="40"/>
      <c r="W13" s="40"/>
      <c r="X13" s="40"/>
      <c r="Y13" s="40"/>
      <c r="Z13" s="25"/>
    </row>
    <row r="14" spans="1:26" ht="15.75" customHeight="1" x14ac:dyDescent="0.2">
      <c r="A14" s="24"/>
      <c r="B14" s="43"/>
      <c r="C14" s="40"/>
      <c r="D14" s="40"/>
      <c r="E14" s="40"/>
      <c r="F14" s="40"/>
      <c r="G14" s="40"/>
      <c r="H14" s="41"/>
      <c r="I14" s="40"/>
      <c r="J14" s="40"/>
      <c r="K14" s="40"/>
      <c r="L14" s="40"/>
      <c r="M14" s="40"/>
      <c r="N14" s="40"/>
      <c r="O14" s="40"/>
      <c r="P14" s="40"/>
      <c r="Q14" s="40"/>
      <c r="R14" s="40"/>
      <c r="S14" s="40"/>
      <c r="T14" s="40"/>
      <c r="U14" s="40"/>
      <c r="V14" s="40"/>
      <c r="W14" s="40"/>
      <c r="X14" s="40"/>
      <c r="Y14" s="40"/>
      <c r="Z14" s="25"/>
    </row>
    <row r="15" spans="1:26" ht="15.75" customHeight="1" x14ac:dyDescent="0.2">
      <c r="A15" s="24"/>
      <c r="B15" s="40"/>
      <c r="C15" s="40"/>
      <c r="D15" s="40"/>
      <c r="E15" s="40"/>
      <c r="F15" s="40"/>
      <c r="G15" s="40"/>
      <c r="H15" s="41"/>
      <c r="I15" s="40"/>
      <c r="J15" s="40"/>
      <c r="K15" s="40"/>
      <c r="L15" s="40"/>
      <c r="M15" s="40"/>
      <c r="N15" s="40"/>
      <c r="O15" s="40"/>
      <c r="P15" s="40"/>
      <c r="Q15" s="40"/>
      <c r="R15" s="40"/>
      <c r="S15" s="40"/>
      <c r="T15" s="40"/>
      <c r="U15" s="40"/>
      <c r="V15" s="40"/>
      <c r="W15" s="40"/>
      <c r="X15" s="40"/>
      <c r="Y15" s="40"/>
      <c r="Z15" s="25"/>
    </row>
    <row r="16" spans="1:26" ht="15.75" customHeight="1" x14ac:dyDescent="0.2">
      <c r="A16" s="24"/>
      <c r="B16" s="40"/>
      <c r="C16" s="40"/>
      <c r="D16" s="40"/>
      <c r="E16" s="40"/>
      <c r="F16" s="40"/>
      <c r="G16" s="40"/>
      <c r="H16" s="41"/>
      <c r="I16" s="40"/>
      <c r="J16" s="40"/>
      <c r="K16" s="40"/>
      <c r="L16" s="40"/>
      <c r="M16" s="40"/>
      <c r="N16" s="40"/>
      <c r="O16" s="40"/>
      <c r="P16" s="40"/>
      <c r="Q16" s="40"/>
      <c r="R16" s="40"/>
      <c r="S16" s="40"/>
      <c r="T16" s="40"/>
      <c r="U16" s="40"/>
      <c r="V16" s="40"/>
      <c r="W16" s="40"/>
      <c r="X16" s="40"/>
      <c r="Y16" s="40"/>
      <c r="Z16" s="42"/>
    </row>
    <row r="17" spans="1:26" ht="15.75" customHeight="1" x14ac:dyDescent="0.2">
      <c r="A17" s="24"/>
      <c r="B17" s="43"/>
      <c r="C17" s="40"/>
      <c r="D17" s="40"/>
      <c r="E17" s="40"/>
      <c r="F17" s="40"/>
      <c r="G17" s="40"/>
      <c r="H17" s="41"/>
      <c r="I17" s="40"/>
      <c r="J17" s="40"/>
      <c r="K17" s="40"/>
      <c r="L17" s="40"/>
      <c r="M17" s="40"/>
      <c r="N17" s="40"/>
      <c r="O17" s="40"/>
      <c r="P17" s="40"/>
      <c r="Q17" s="40"/>
      <c r="R17" s="40"/>
      <c r="S17" s="40"/>
      <c r="T17" s="40"/>
      <c r="U17" s="40"/>
      <c r="V17" s="40"/>
      <c r="W17" s="25"/>
      <c r="X17" s="40"/>
      <c r="Y17" s="40"/>
      <c r="Z17" s="25"/>
    </row>
    <row r="18" spans="1:26" ht="15.75" customHeight="1" x14ac:dyDescent="0.2">
      <c r="A18" s="24"/>
      <c r="B18" s="40"/>
      <c r="C18" s="42"/>
      <c r="D18" s="40"/>
      <c r="E18" s="40"/>
      <c r="F18" s="40"/>
      <c r="G18" s="40"/>
      <c r="H18" s="41"/>
      <c r="I18" s="40"/>
      <c r="J18" s="40"/>
      <c r="K18" s="40"/>
      <c r="L18" s="40"/>
      <c r="M18" s="40"/>
      <c r="N18" s="40"/>
      <c r="O18" s="40"/>
      <c r="P18" s="40"/>
      <c r="Q18" s="40"/>
      <c r="R18" s="42"/>
      <c r="S18" s="40"/>
      <c r="T18" s="40"/>
      <c r="U18" s="40"/>
      <c r="V18" s="40"/>
      <c r="W18" s="40"/>
      <c r="X18" s="40"/>
      <c r="Y18" s="40"/>
      <c r="Z18" s="42"/>
    </row>
    <row r="19" spans="1:26" ht="15.75" customHeight="1" x14ac:dyDescent="0.2">
      <c r="A19" s="24"/>
      <c r="B19" s="43"/>
      <c r="C19" s="42"/>
      <c r="D19" s="40"/>
      <c r="E19" s="40"/>
      <c r="F19" s="40"/>
      <c r="G19" s="40"/>
      <c r="H19" s="41"/>
      <c r="I19" s="40"/>
      <c r="J19" s="40"/>
      <c r="K19" s="40"/>
      <c r="L19" s="40"/>
      <c r="M19" s="40"/>
      <c r="N19" s="40"/>
      <c r="O19" s="40"/>
      <c r="P19" s="40"/>
      <c r="Q19" s="40"/>
      <c r="R19" s="42"/>
      <c r="S19" s="42"/>
      <c r="T19" s="42"/>
      <c r="U19" s="40"/>
      <c r="V19" s="40"/>
      <c r="W19" s="40"/>
      <c r="X19" s="40"/>
      <c r="Y19" s="40"/>
      <c r="Z19" s="42"/>
    </row>
    <row r="20" spans="1:26" ht="15.75" customHeight="1" x14ac:dyDescent="0.2">
      <c r="A20" s="24"/>
      <c r="B20" s="40"/>
      <c r="C20" s="42"/>
      <c r="D20" s="40"/>
      <c r="E20" s="40"/>
      <c r="F20" s="40"/>
      <c r="G20" s="40"/>
      <c r="H20" s="41"/>
      <c r="I20" s="40"/>
      <c r="J20" s="40"/>
      <c r="K20" s="40"/>
      <c r="L20" s="40"/>
      <c r="M20" s="40"/>
      <c r="N20" s="40"/>
      <c r="O20" s="40"/>
      <c r="P20" s="40"/>
      <c r="Q20" s="40"/>
      <c r="R20" s="40"/>
      <c r="S20" s="40"/>
      <c r="T20" s="40"/>
      <c r="U20" s="40"/>
      <c r="V20" s="40"/>
      <c r="W20" s="40"/>
      <c r="X20" s="40"/>
      <c r="Y20" s="40"/>
      <c r="Z20" s="42"/>
    </row>
    <row r="21" spans="1:26" ht="15.75" customHeight="1" x14ac:dyDescent="0.2">
      <c r="A21" s="24"/>
      <c r="B21" s="43"/>
      <c r="C21" s="40"/>
      <c r="D21" s="40"/>
      <c r="E21" s="40"/>
      <c r="F21" s="40"/>
      <c r="G21" s="42"/>
      <c r="H21" s="41"/>
      <c r="I21" s="40"/>
      <c r="J21" s="40"/>
      <c r="K21" s="40"/>
      <c r="L21" s="40"/>
      <c r="M21" s="40"/>
      <c r="N21" s="40"/>
      <c r="O21" s="40"/>
      <c r="P21" s="40"/>
      <c r="Q21" s="40"/>
      <c r="R21" s="40"/>
      <c r="S21" s="42"/>
      <c r="T21" s="42"/>
      <c r="U21" s="40"/>
      <c r="V21" s="40"/>
      <c r="W21" s="40"/>
      <c r="X21" s="40"/>
      <c r="Y21" s="40"/>
      <c r="Z21" s="42"/>
    </row>
    <row r="22" spans="1:26" ht="15.75" customHeight="1" x14ac:dyDescent="0.2">
      <c r="A22" s="24"/>
      <c r="B22" s="40"/>
      <c r="C22" s="42"/>
      <c r="D22" s="40"/>
      <c r="E22" s="40"/>
      <c r="F22" s="40"/>
      <c r="G22" s="40"/>
      <c r="H22" s="41"/>
      <c r="I22" s="40"/>
      <c r="J22" s="40"/>
      <c r="K22" s="40"/>
      <c r="L22" s="40"/>
      <c r="M22" s="40"/>
      <c r="N22" s="40"/>
      <c r="O22" s="40"/>
      <c r="P22" s="40"/>
      <c r="Q22" s="40"/>
      <c r="R22" s="40"/>
      <c r="S22" s="40"/>
      <c r="T22" s="40"/>
      <c r="U22" s="40"/>
      <c r="V22" s="40"/>
      <c r="W22" s="40"/>
      <c r="X22" s="40"/>
      <c r="Y22" s="40"/>
      <c r="Z22" s="42"/>
    </row>
    <row r="23" spans="1:26" ht="15.75" customHeight="1" x14ac:dyDescent="0.2">
      <c r="A23" s="24"/>
      <c r="B23" s="43"/>
      <c r="C23" s="40"/>
      <c r="D23" s="40"/>
      <c r="E23" s="40"/>
      <c r="F23" s="40"/>
      <c r="G23" s="40"/>
      <c r="H23" s="41"/>
      <c r="I23" s="40"/>
      <c r="J23" s="40"/>
      <c r="K23" s="40"/>
      <c r="L23" s="40"/>
      <c r="M23" s="40"/>
      <c r="N23" s="40"/>
      <c r="O23" s="40"/>
      <c r="P23" s="40"/>
      <c r="Q23" s="40"/>
      <c r="R23" s="40"/>
      <c r="S23" s="40"/>
      <c r="T23" s="40"/>
      <c r="U23" s="40"/>
      <c r="V23" s="40"/>
      <c r="W23" s="25"/>
      <c r="X23" s="40"/>
      <c r="Y23" s="40"/>
      <c r="Z23" s="25"/>
    </row>
    <row r="24" spans="1:26" ht="15.75" customHeight="1" x14ac:dyDescent="0.2">
      <c r="A24" s="24"/>
      <c r="B24" s="43"/>
      <c r="C24" s="40"/>
      <c r="D24" s="40"/>
      <c r="E24" s="25"/>
      <c r="F24" s="40"/>
      <c r="G24" s="40"/>
      <c r="H24" s="41"/>
      <c r="I24" s="40"/>
      <c r="J24" s="40"/>
      <c r="K24" s="40"/>
      <c r="L24" s="40"/>
      <c r="M24" s="40"/>
      <c r="N24" s="40"/>
      <c r="O24" s="40"/>
      <c r="P24" s="40"/>
      <c r="Q24" s="40"/>
      <c r="R24" s="40"/>
      <c r="S24" s="40"/>
      <c r="T24" s="40"/>
      <c r="U24" s="40"/>
      <c r="V24" s="40"/>
      <c r="W24" s="25"/>
      <c r="X24" s="40"/>
      <c r="Y24" s="40"/>
      <c r="Z24" s="25"/>
    </row>
    <row r="25" spans="1:26" ht="15.75" customHeight="1" x14ac:dyDescent="0.2">
      <c r="A25" s="24"/>
      <c r="B25" s="40"/>
      <c r="C25" s="40"/>
      <c r="D25" s="40"/>
      <c r="E25" s="40"/>
      <c r="F25" s="40"/>
      <c r="G25" s="40"/>
      <c r="H25" s="41"/>
      <c r="I25" s="40"/>
      <c r="J25" s="40"/>
      <c r="K25" s="40"/>
      <c r="L25" s="40"/>
      <c r="M25" s="40"/>
      <c r="N25" s="40"/>
      <c r="O25" s="40"/>
      <c r="P25" s="40"/>
      <c r="Q25" s="40"/>
      <c r="R25" s="42"/>
      <c r="S25" s="42"/>
      <c r="T25" s="42"/>
      <c r="U25" s="40"/>
      <c r="V25" s="40"/>
      <c r="W25" s="25"/>
      <c r="X25" s="40"/>
      <c r="Y25" s="40"/>
      <c r="Z25" s="42"/>
    </row>
    <row r="26" spans="1:26" ht="15.75" customHeight="1" x14ac:dyDescent="0.2">
      <c r="A26" s="24"/>
      <c r="B26" s="43"/>
      <c r="C26" s="42"/>
      <c r="D26" s="40"/>
      <c r="E26" s="40"/>
      <c r="F26" s="40"/>
      <c r="G26" s="42"/>
      <c r="H26" s="45"/>
      <c r="I26" s="40"/>
      <c r="J26" s="40"/>
      <c r="K26" s="40"/>
      <c r="L26" s="40"/>
      <c r="M26" s="40"/>
      <c r="N26" s="40"/>
      <c r="O26" s="40"/>
      <c r="P26" s="40"/>
      <c r="Q26" s="40"/>
      <c r="R26" s="42"/>
      <c r="S26" s="42"/>
      <c r="T26" s="42"/>
      <c r="U26" s="40"/>
      <c r="V26" s="40"/>
      <c r="W26" s="40"/>
      <c r="X26" s="40"/>
      <c r="Y26" s="40"/>
      <c r="Z26" s="42"/>
    </row>
    <row r="27" spans="1:26" ht="15.75" customHeight="1" x14ac:dyDescent="0.2">
      <c r="A27" s="24"/>
      <c r="B27" s="43"/>
      <c r="C27" s="40"/>
      <c r="D27" s="40"/>
      <c r="E27" s="40"/>
      <c r="F27" s="40"/>
      <c r="G27" s="40"/>
      <c r="H27" s="41"/>
      <c r="I27" s="40"/>
      <c r="J27" s="40"/>
      <c r="K27" s="40"/>
      <c r="L27" s="40"/>
      <c r="M27" s="40"/>
      <c r="N27" s="40"/>
      <c r="O27" s="40"/>
      <c r="P27" s="40"/>
      <c r="Q27" s="40"/>
      <c r="R27" s="40"/>
      <c r="S27" s="40"/>
      <c r="T27" s="40"/>
      <c r="U27" s="40"/>
      <c r="V27" s="40"/>
      <c r="W27" s="25"/>
      <c r="X27" s="40"/>
      <c r="Y27" s="40"/>
      <c r="Z27" s="25"/>
    </row>
    <row r="28" spans="1:26" ht="114" customHeight="1" x14ac:dyDescent="0.2">
      <c r="A28" s="24"/>
      <c r="B28" s="43"/>
      <c r="C28" s="40"/>
      <c r="D28" s="40"/>
      <c r="E28" s="40"/>
      <c r="F28" s="40"/>
      <c r="G28" s="40"/>
      <c r="H28" s="41"/>
      <c r="I28" s="40"/>
      <c r="J28" s="40"/>
      <c r="K28" s="40"/>
      <c r="L28" s="40"/>
      <c r="M28" s="40"/>
      <c r="N28" s="40"/>
      <c r="O28" s="40"/>
      <c r="P28" s="40"/>
      <c r="Q28" s="40"/>
      <c r="R28" s="40"/>
      <c r="S28" s="40"/>
      <c r="T28" s="40"/>
      <c r="U28" s="40"/>
      <c r="V28" s="40"/>
      <c r="W28" s="25"/>
      <c r="X28" s="40"/>
      <c r="Y28" s="40"/>
      <c r="Z28" s="25"/>
    </row>
    <row r="29" spans="1:26" ht="15.75" customHeight="1" x14ac:dyDescent="0.2">
      <c r="A29" s="46"/>
      <c r="B29" s="42"/>
      <c r="C29" s="42"/>
      <c r="D29" s="42"/>
      <c r="E29" s="42"/>
      <c r="F29" s="40"/>
      <c r="G29" s="42"/>
      <c r="H29" s="46"/>
      <c r="I29" s="42"/>
      <c r="J29" s="42"/>
      <c r="K29" s="42"/>
      <c r="L29" s="42"/>
      <c r="M29" s="42"/>
      <c r="N29" s="42"/>
      <c r="O29" s="42"/>
      <c r="P29" s="42"/>
      <c r="Q29" s="42"/>
      <c r="R29" s="42"/>
      <c r="S29" s="42"/>
      <c r="T29" s="42"/>
      <c r="U29" s="42"/>
      <c r="V29" s="42"/>
      <c r="W29" s="42"/>
      <c r="X29" s="42"/>
      <c r="Y29" s="42"/>
      <c r="Z29" s="42"/>
    </row>
    <row r="30" spans="1:26" ht="15.75" customHeight="1" x14ac:dyDescent="0.2">
      <c r="A30" s="46"/>
      <c r="B30" s="42"/>
      <c r="C30" s="42"/>
      <c r="D30" s="42"/>
      <c r="E30" s="42"/>
      <c r="F30" s="40"/>
      <c r="G30" s="42"/>
      <c r="H30" s="46"/>
      <c r="I30" s="42"/>
      <c r="J30" s="42"/>
      <c r="K30" s="42"/>
      <c r="L30" s="42"/>
      <c r="M30" s="42"/>
      <c r="N30" s="42"/>
      <c r="O30" s="42"/>
      <c r="P30" s="42"/>
      <c r="Q30" s="42"/>
      <c r="R30" s="42"/>
      <c r="S30" s="42"/>
      <c r="T30" s="42"/>
      <c r="U30" s="42"/>
      <c r="V30" s="42"/>
      <c r="W30" s="42"/>
      <c r="X30" s="42"/>
      <c r="Y30" s="42"/>
      <c r="Z30" s="42"/>
    </row>
    <row r="31" spans="1:26" ht="15.75" customHeight="1" x14ac:dyDescent="0.2">
      <c r="A31" s="47"/>
      <c r="B31" s="48"/>
      <c r="C31" s="48"/>
      <c r="D31" s="48"/>
      <c r="E31" s="48"/>
      <c r="F31" s="48"/>
      <c r="G31" s="48"/>
      <c r="H31" s="48"/>
      <c r="I31" s="48"/>
      <c r="J31" s="48"/>
      <c r="K31" s="48"/>
      <c r="L31" s="48"/>
      <c r="M31" s="48"/>
      <c r="N31" s="48"/>
      <c r="O31" s="48"/>
      <c r="P31" s="48"/>
      <c r="Q31" s="48"/>
      <c r="R31" s="48"/>
      <c r="S31" s="48"/>
      <c r="T31" s="48"/>
      <c r="U31" s="48"/>
      <c r="V31" s="48"/>
      <c r="W31" s="48"/>
      <c r="X31" s="48"/>
      <c r="Y31" s="48"/>
      <c r="Z31" s="47"/>
    </row>
    <row r="32" spans="1:26" ht="15.75" customHeight="1" x14ac:dyDescent="0.2">
      <c r="A32" s="47"/>
      <c r="B32" s="48"/>
      <c r="C32" s="48"/>
      <c r="D32" s="48"/>
      <c r="E32" s="48"/>
      <c r="F32" s="48"/>
      <c r="G32" s="48"/>
      <c r="H32" s="48"/>
      <c r="I32" s="48"/>
      <c r="J32" s="48"/>
      <c r="K32" s="48"/>
      <c r="L32" s="48"/>
      <c r="M32" s="48"/>
      <c r="N32" s="48"/>
      <c r="O32" s="48"/>
      <c r="P32" s="48"/>
      <c r="Q32" s="48"/>
      <c r="R32" s="48"/>
      <c r="S32" s="48"/>
      <c r="T32" s="48"/>
      <c r="U32" s="48"/>
      <c r="V32" s="48"/>
      <c r="W32" s="48"/>
      <c r="X32" s="48"/>
      <c r="Y32" s="48"/>
      <c r="Z32" s="47"/>
    </row>
    <row r="33" spans="1:26" ht="15.75" customHeight="1" x14ac:dyDescent="0.2">
      <c r="A33" s="47"/>
      <c r="B33" s="48"/>
      <c r="C33" s="48"/>
      <c r="D33" s="48"/>
      <c r="E33" s="48"/>
      <c r="F33" s="48"/>
      <c r="G33" s="48"/>
      <c r="H33" s="48"/>
      <c r="I33" s="48"/>
      <c r="J33" s="48"/>
      <c r="K33" s="48"/>
      <c r="L33" s="48"/>
      <c r="M33" s="48"/>
      <c r="N33" s="48"/>
      <c r="O33" s="48"/>
      <c r="P33" s="48"/>
      <c r="Q33" s="48"/>
      <c r="R33" s="48"/>
      <c r="S33" s="48"/>
      <c r="T33" s="48"/>
      <c r="U33" s="48"/>
      <c r="V33" s="48"/>
      <c r="W33" s="48"/>
      <c r="X33" s="48"/>
      <c r="Y33" s="48"/>
      <c r="Z33" s="47"/>
    </row>
    <row r="34" spans="1:26" ht="15.75" customHeight="1" x14ac:dyDescent="0.2">
      <c r="A34" s="47"/>
      <c r="B34" s="48"/>
      <c r="C34" s="48"/>
      <c r="D34" s="48"/>
      <c r="E34" s="48"/>
      <c r="F34" s="48"/>
      <c r="G34" s="48"/>
      <c r="H34" s="48"/>
      <c r="I34" s="48"/>
      <c r="J34" s="48"/>
      <c r="K34" s="48"/>
      <c r="L34" s="48"/>
      <c r="M34" s="48"/>
      <c r="N34" s="48"/>
      <c r="O34" s="48"/>
      <c r="P34" s="48"/>
      <c r="Q34" s="48"/>
      <c r="R34" s="48"/>
      <c r="S34" s="48"/>
      <c r="T34" s="48"/>
      <c r="U34" s="48"/>
      <c r="V34" s="48"/>
      <c r="W34" s="48"/>
      <c r="X34" s="48"/>
      <c r="Y34" s="48"/>
      <c r="Z34" s="47"/>
    </row>
    <row r="35" spans="1:26" ht="15.75" customHeight="1" x14ac:dyDescent="0.2">
      <c r="A35" s="47"/>
      <c r="B35" s="48"/>
      <c r="C35" s="48"/>
      <c r="D35" s="48"/>
      <c r="E35" s="48"/>
      <c r="F35" s="48"/>
      <c r="G35" s="48"/>
      <c r="H35" s="48"/>
      <c r="I35" s="48"/>
      <c r="J35" s="48"/>
      <c r="K35" s="48"/>
      <c r="L35" s="48"/>
      <c r="M35" s="48"/>
      <c r="N35" s="48"/>
      <c r="O35" s="48"/>
      <c r="P35" s="48"/>
      <c r="Q35" s="48"/>
      <c r="R35" s="48"/>
      <c r="S35" s="48"/>
      <c r="T35" s="48"/>
      <c r="U35" s="48"/>
      <c r="V35" s="48"/>
      <c r="W35" s="48"/>
      <c r="X35" s="48"/>
      <c r="Y35" s="48"/>
      <c r="Z35" s="47"/>
    </row>
    <row r="36" spans="1:26" ht="15.75" customHeight="1" x14ac:dyDescent="0.2">
      <c r="A36" s="47"/>
      <c r="B36" s="48"/>
      <c r="C36" s="48"/>
      <c r="D36" s="48"/>
      <c r="E36" s="48"/>
      <c r="F36" s="48"/>
      <c r="G36" s="48"/>
      <c r="H36" s="48"/>
      <c r="I36" s="48"/>
      <c r="J36" s="48"/>
      <c r="K36" s="48"/>
      <c r="L36" s="48"/>
      <c r="M36" s="48"/>
      <c r="N36" s="48"/>
      <c r="O36" s="48"/>
      <c r="P36" s="48"/>
      <c r="Q36" s="48"/>
      <c r="R36" s="48"/>
      <c r="S36" s="48"/>
      <c r="T36" s="48"/>
      <c r="U36" s="48"/>
      <c r="V36" s="48"/>
      <c r="W36" s="48"/>
      <c r="X36" s="48"/>
      <c r="Y36" s="48"/>
      <c r="Z36" s="47"/>
    </row>
    <row r="37" spans="1:26" ht="15.75" customHeight="1" x14ac:dyDescent="0.2">
      <c r="A37" s="47"/>
      <c r="B37" s="48"/>
      <c r="C37" s="48"/>
      <c r="D37" s="48"/>
      <c r="E37" s="48"/>
      <c r="F37" s="48"/>
      <c r="G37" s="48"/>
      <c r="H37" s="48"/>
      <c r="I37" s="48"/>
      <c r="J37" s="48"/>
      <c r="K37" s="48"/>
      <c r="L37" s="48"/>
      <c r="M37" s="48"/>
      <c r="N37" s="48"/>
      <c r="O37" s="48"/>
      <c r="P37" s="48"/>
      <c r="Q37" s="48"/>
      <c r="R37" s="48"/>
      <c r="S37" s="48"/>
      <c r="T37" s="48"/>
      <c r="U37" s="48"/>
      <c r="V37" s="48"/>
      <c r="W37" s="48"/>
      <c r="X37" s="48"/>
      <c r="Y37" s="48"/>
      <c r="Z37" s="47"/>
    </row>
    <row r="38" spans="1:26" ht="15.75" customHeight="1" x14ac:dyDescent="0.2">
      <c r="A38" s="47"/>
      <c r="B38" s="48"/>
      <c r="C38" s="48"/>
      <c r="D38" s="48"/>
      <c r="E38" s="48"/>
      <c r="F38" s="48"/>
      <c r="G38" s="48"/>
      <c r="H38" s="48"/>
      <c r="I38" s="48"/>
      <c r="J38" s="48"/>
      <c r="K38" s="48"/>
      <c r="L38" s="48"/>
      <c r="M38" s="48"/>
      <c r="N38" s="48"/>
      <c r="O38" s="48"/>
      <c r="P38" s="48"/>
      <c r="Q38" s="48"/>
      <c r="R38" s="48"/>
      <c r="S38" s="48"/>
      <c r="T38" s="48"/>
      <c r="U38" s="48"/>
      <c r="V38" s="48"/>
      <c r="W38" s="48"/>
      <c r="X38" s="48"/>
      <c r="Y38" s="48"/>
      <c r="Z38" s="47"/>
    </row>
    <row r="39" spans="1:26" ht="15.75" customHeight="1" x14ac:dyDescent="0.2">
      <c r="A39" s="47"/>
      <c r="B39" s="48"/>
      <c r="C39" s="48"/>
      <c r="D39" s="48"/>
      <c r="E39" s="48"/>
      <c r="F39" s="48"/>
      <c r="G39" s="48"/>
      <c r="H39" s="48"/>
      <c r="I39" s="48"/>
      <c r="J39" s="48"/>
      <c r="K39" s="48"/>
      <c r="L39" s="48"/>
      <c r="M39" s="48"/>
      <c r="N39" s="48"/>
      <c r="O39" s="48"/>
      <c r="P39" s="48"/>
      <c r="Q39" s="48"/>
      <c r="R39" s="48"/>
      <c r="S39" s="48"/>
      <c r="T39" s="48"/>
      <c r="U39" s="48"/>
      <c r="V39" s="48"/>
      <c r="W39" s="48"/>
      <c r="X39" s="48"/>
      <c r="Y39" s="48"/>
      <c r="Z39" s="47"/>
    </row>
    <row r="40" spans="1:26" ht="15.75" customHeight="1" x14ac:dyDescent="0.2">
      <c r="A40" s="47"/>
      <c r="B40" s="48"/>
      <c r="C40" s="48"/>
      <c r="D40" s="48"/>
      <c r="E40" s="48"/>
      <c r="F40" s="48"/>
      <c r="G40" s="48"/>
      <c r="H40" s="48"/>
      <c r="I40" s="48"/>
      <c r="J40" s="48"/>
      <c r="K40" s="48"/>
      <c r="L40" s="48"/>
      <c r="M40" s="48"/>
      <c r="N40" s="48"/>
      <c r="O40" s="48"/>
      <c r="P40" s="48"/>
      <c r="Q40" s="48"/>
      <c r="R40" s="48"/>
      <c r="S40" s="48"/>
      <c r="T40" s="48"/>
      <c r="U40" s="48"/>
      <c r="V40" s="48"/>
      <c r="W40" s="48"/>
      <c r="X40" s="48"/>
      <c r="Y40" s="48"/>
      <c r="Z40" s="47"/>
    </row>
    <row r="41" spans="1:26" ht="15.75" customHeight="1" x14ac:dyDescent="0.2">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7"/>
    </row>
    <row r="42" spans="1:26" ht="15.75" customHeight="1" x14ac:dyDescent="0.2">
      <c r="A42" s="47"/>
      <c r="B42" s="48"/>
      <c r="C42" s="48"/>
      <c r="D42" s="48"/>
      <c r="E42" s="48"/>
      <c r="F42" s="48"/>
      <c r="G42" s="48"/>
      <c r="H42" s="48"/>
      <c r="I42" s="48"/>
      <c r="J42" s="48"/>
      <c r="K42" s="48"/>
      <c r="L42" s="48"/>
      <c r="M42" s="48"/>
      <c r="N42" s="48"/>
      <c r="O42" s="48"/>
      <c r="P42" s="48"/>
      <c r="Q42" s="48"/>
      <c r="R42" s="48"/>
      <c r="S42" s="48"/>
      <c r="T42" s="48"/>
      <c r="U42" s="48"/>
      <c r="V42" s="48"/>
      <c r="W42" s="48"/>
      <c r="X42" s="48"/>
      <c r="Y42" s="48"/>
      <c r="Z42" s="47"/>
    </row>
    <row r="43" spans="1:26" ht="15.75" customHeight="1" x14ac:dyDescent="0.2">
      <c r="A43" s="47"/>
      <c r="B43" s="48"/>
      <c r="C43" s="48"/>
      <c r="D43" s="48"/>
      <c r="E43" s="48"/>
      <c r="F43" s="48"/>
      <c r="G43" s="48"/>
      <c r="H43" s="48"/>
      <c r="I43" s="48"/>
      <c r="J43" s="48"/>
      <c r="K43" s="48"/>
      <c r="L43" s="48"/>
      <c r="M43" s="48"/>
      <c r="N43" s="48"/>
      <c r="O43" s="48"/>
      <c r="P43" s="48"/>
      <c r="Q43" s="48"/>
      <c r="R43" s="48"/>
      <c r="S43" s="48"/>
      <c r="T43" s="48"/>
      <c r="U43" s="48"/>
      <c r="V43" s="48"/>
      <c r="W43" s="48"/>
      <c r="X43" s="48"/>
      <c r="Y43" s="48"/>
      <c r="Z43" s="47"/>
    </row>
    <row r="44" spans="1:26" ht="15.75" customHeight="1" x14ac:dyDescent="0.2">
      <c r="A44" s="47"/>
      <c r="B44" s="48"/>
      <c r="C44" s="48"/>
      <c r="D44" s="48"/>
      <c r="E44" s="48"/>
      <c r="F44" s="48"/>
      <c r="G44" s="48"/>
      <c r="H44" s="48"/>
      <c r="I44" s="48"/>
      <c r="J44" s="48"/>
      <c r="K44" s="48"/>
      <c r="L44" s="48"/>
      <c r="M44" s="48"/>
      <c r="N44" s="48"/>
      <c r="O44" s="48"/>
      <c r="P44" s="48"/>
      <c r="Q44" s="48"/>
      <c r="R44" s="48"/>
      <c r="S44" s="48"/>
      <c r="T44" s="48"/>
      <c r="U44" s="48"/>
      <c r="V44" s="48"/>
      <c r="W44" s="48"/>
      <c r="X44" s="48"/>
      <c r="Y44" s="48"/>
      <c r="Z44" s="47"/>
    </row>
    <row r="45" spans="1:26" ht="15.75" customHeight="1" x14ac:dyDescent="0.2">
      <c r="A45" s="47"/>
      <c r="B45" s="48"/>
      <c r="C45" s="48"/>
      <c r="D45" s="48"/>
      <c r="E45" s="48"/>
      <c r="F45" s="48"/>
      <c r="G45" s="48"/>
      <c r="H45" s="48"/>
      <c r="I45" s="48"/>
      <c r="J45" s="48"/>
      <c r="K45" s="48"/>
      <c r="L45" s="48"/>
      <c r="M45" s="48"/>
      <c r="N45" s="48"/>
      <c r="O45" s="48"/>
      <c r="P45" s="48"/>
      <c r="Q45" s="48"/>
      <c r="R45" s="48"/>
      <c r="S45" s="48"/>
      <c r="T45" s="48"/>
      <c r="U45" s="48"/>
      <c r="V45" s="48"/>
      <c r="W45" s="48"/>
      <c r="X45" s="48"/>
      <c r="Y45" s="48"/>
      <c r="Z45" s="47"/>
    </row>
    <row r="46" spans="1:26" ht="15.75" customHeight="1" x14ac:dyDescent="0.2">
      <c r="A46" s="47"/>
      <c r="B46" s="48"/>
      <c r="C46" s="48"/>
      <c r="D46" s="48"/>
      <c r="E46" s="48"/>
      <c r="F46" s="48"/>
      <c r="G46" s="48"/>
      <c r="H46" s="48"/>
      <c r="I46" s="48"/>
      <c r="J46" s="48"/>
      <c r="K46" s="48"/>
      <c r="L46" s="48"/>
      <c r="M46" s="48"/>
      <c r="N46" s="48"/>
      <c r="O46" s="48"/>
      <c r="P46" s="48"/>
      <c r="Q46" s="48"/>
      <c r="R46" s="48"/>
      <c r="S46" s="48"/>
      <c r="T46" s="48"/>
      <c r="U46" s="48"/>
      <c r="V46" s="48"/>
      <c r="W46" s="48"/>
      <c r="X46" s="48"/>
      <c r="Y46" s="48"/>
      <c r="Z46" s="47"/>
    </row>
    <row r="47" spans="1:26" ht="15.75" customHeight="1" x14ac:dyDescent="0.2">
      <c r="A47" s="47"/>
      <c r="B47" s="48"/>
      <c r="C47" s="48"/>
      <c r="D47" s="48"/>
      <c r="E47" s="48"/>
      <c r="F47" s="48"/>
      <c r="G47" s="48"/>
      <c r="H47" s="48"/>
      <c r="I47" s="48"/>
      <c r="J47" s="48"/>
      <c r="K47" s="48"/>
      <c r="L47" s="48"/>
      <c r="M47" s="48"/>
      <c r="N47" s="48"/>
      <c r="O47" s="48"/>
      <c r="P47" s="48"/>
      <c r="Q47" s="48"/>
      <c r="R47" s="48"/>
      <c r="S47" s="48"/>
      <c r="T47" s="48"/>
      <c r="U47" s="48"/>
      <c r="V47" s="48"/>
      <c r="W47" s="48"/>
      <c r="X47" s="48"/>
      <c r="Y47" s="48"/>
      <c r="Z47" s="47"/>
    </row>
    <row r="48" spans="1:26" ht="15.75" customHeight="1" x14ac:dyDescent="0.2">
      <c r="A48" s="47"/>
      <c r="B48" s="48"/>
      <c r="C48" s="48"/>
      <c r="D48" s="48"/>
      <c r="E48" s="48"/>
      <c r="F48" s="48"/>
      <c r="G48" s="48"/>
      <c r="H48" s="48"/>
      <c r="I48" s="48"/>
      <c r="J48" s="48"/>
      <c r="K48" s="48"/>
      <c r="L48" s="48"/>
      <c r="M48" s="48"/>
      <c r="N48" s="48"/>
      <c r="O48" s="48"/>
      <c r="P48" s="48"/>
      <c r="Q48" s="48"/>
      <c r="R48" s="48"/>
      <c r="S48" s="48"/>
      <c r="T48" s="48"/>
      <c r="U48" s="48"/>
      <c r="V48" s="48"/>
      <c r="W48" s="48"/>
      <c r="X48" s="48"/>
      <c r="Y48" s="48"/>
      <c r="Z48" s="47"/>
    </row>
    <row r="49" spans="1:26" ht="15.75" customHeight="1" x14ac:dyDescent="0.2">
      <c r="A49" s="47"/>
      <c r="B49" s="48"/>
      <c r="C49" s="48"/>
      <c r="D49" s="48"/>
      <c r="E49" s="48"/>
      <c r="F49" s="48"/>
      <c r="G49" s="48"/>
      <c r="H49" s="48"/>
      <c r="I49" s="48"/>
      <c r="J49" s="48"/>
      <c r="K49" s="48"/>
      <c r="L49" s="48"/>
      <c r="M49" s="48"/>
      <c r="N49" s="48"/>
      <c r="O49" s="48"/>
      <c r="P49" s="48"/>
      <c r="Q49" s="48"/>
      <c r="R49" s="48"/>
      <c r="S49" s="48"/>
      <c r="T49" s="48"/>
      <c r="U49" s="48"/>
      <c r="V49" s="48"/>
      <c r="W49" s="48"/>
      <c r="X49" s="48"/>
      <c r="Y49" s="48"/>
      <c r="Z49" s="47"/>
    </row>
    <row r="50" spans="1:26" ht="15.75" customHeight="1" x14ac:dyDescent="0.2">
      <c r="A50" s="47"/>
      <c r="B50" s="48"/>
      <c r="C50" s="48"/>
      <c r="D50" s="48"/>
      <c r="E50" s="48"/>
      <c r="F50" s="48"/>
      <c r="G50" s="48"/>
      <c r="H50" s="48"/>
      <c r="I50" s="48"/>
      <c r="J50" s="48"/>
      <c r="K50" s="48"/>
      <c r="L50" s="48"/>
      <c r="M50" s="48"/>
      <c r="N50" s="48"/>
      <c r="O50" s="48"/>
      <c r="P50" s="48"/>
      <c r="Q50" s="48"/>
      <c r="R50" s="48"/>
      <c r="S50" s="48"/>
      <c r="T50" s="48"/>
      <c r="U50" s="48"/>
      <c r="V50" s="48"/>
      <c r="W50" s="48"/>
      <c r="X50" s="48"/>
      <c r="Y50" s="48"/>
      <c r="Z50" s="47"/>
    </row>
    <row r="51" spans="1:26" ht="15.75" customHeight="1" x14ac:dyDescent="0.2">
      <c r="A51" s="47"/>
      <c r="B51" s="48"/>
      <c r="C51" s="48"/>
      <c r="D51" s="48"/>
      <c r="E51" s="48"/>
      <c r="F51" s="48"/>
      <c r="G51" s="48"/>
      <c r="H51" s="48"/>
      <c r="I51" s="48"/>
      <c r="J51" s="48"/>
      <c r="K51" s="48"/>
      <c r="L51" s="48"/>
      <c r="M51" s="48"/>
      <c r="N51" s="48"/>
      <c r="O51" s="48"/>
      <c r="P51" s="48"/>
      <c r="Q51" s="48"/>
      <c r="R51" s="48"/>
      <c r="S51" s="48"/>
      <c r="T51" s="48"/>
      <c r="U51" s="48"/>
      <c r="V51" s="48"/>
      <c r="W51" s="48"/>
      <c r="X51" s="48"/>
      <c r="Y51" s="48"/>
      <c r="Z51" s="47"/>
    </row>
    <row r="52" spans="1:26" ht="15.75" customHeight="1" x14ac:dyDescent="0.2">
      <c r="A52" s="47"/>
      <c r="B52" s="48"/>
      <c r="C52" s="48"/>
      <c r="D52" s="48"/>
      <c r="E52" s="48"/>
      <c r="F52" s="48"/>
      <c r="G52" s="48"/>
      <c r="H52" s="48"/>
      <c r="I52" s="48"/>
      <c r="J52" s="48"/>
      <c r="K52" s="48"/>
      <c r="L52" s="48"/>
      <c r="M52" s="48"/>
      <c r="N52" s="48"/>
      <c r="O52" s="48"/>
      <c r="P52" s="48"/>
      <c r="Q52" s="48"/>
      <c r="R52" s="48"/>
      <c r="S52" s="48"/>
      <c r="T52" s="48"/>
      <c r="U52" s="48"/>
      <c r="V52" s="48"/>
      <c r="W52" s="48"/>
      <c r="X52" s="48"/>
      <c r="Y52" s="48"/>
      <c r="Z52" s="47"/>
    </row>
    <row r="53" spans="1:26" ht="15.75" customHeight="1" x14ac:dyDescent="0.2">
      <c r="A53" s="47"/>
      <c r="B53" s="48"/>
      <c r="C53" s="48"/>
      <c r="D53" s="48"/>
      <c r="E53" s="48"/>
      <c r="F53" s="48"/>
      <c r="G53" s="48"/>
      <c r="H53" s="48"/>
      <c r="I53" s="48"/>
      <c r="J53" s="48"/>
      <c r="K53" s="48"/>
      <c r="L53" s="48"/>
      <c r="M53" s="48"/>
      <c r="N53" s="48"/>
      <c r="O53" s="48"/>
      <c r="P53" s="48"/>
      <c r="Q53" s="48"/>
      <c r="R53" s="48"/>
      <c r="S53" s="48"/>
      <c r="T53" s="48"/>
      <c r="U53" s="48"/>
      <c r="V53" s="48"/>
      <c r="W53" s="48"/>
      <c r="X53" s="48"/>
      <c r="Y53" s="48"/>
      <c r="Z53" s="47"/>
    </row>
    <row r="54" spans="1:26" ht="15.75" customHeight="1" x14ac:dyDescent="0.2">
      <c r="A54" s="47"/>
      <c r="B54" s="48"/>
      <c r="C54" s="48"/>
      <c r="D54" s="48"/>
      <c r="E54" s="48"/>
      <c r="F54" s="48"/>
      <c r="G54" s="48"/>
      <c r="H54" s="48"/>
      <c r="I54" s="48"/>
      <c r="J54" s="48"/>
      <c r="K54" s="48"/>
      <c r="L54" s="48"/>
      <c r="M54" s="48"/>
      <c r="N54" s="48"/>
      <c r="O54" s="48"/>
      <c r="P54" s="48"/>
      <c r="Q54" s="48"/>
      <c r="R54" s="48"/>
      <c r="S54" s="48"/>
      <c r="T54" s="48"/>
      <c r="U54" s="48"/>
      <c r="V54" s="48"/>
      <c r="W54" s="48"/>
      <c r="X54" s="48"/>
      <c r="Y54" s="48"/>
      <c r="Z54" s="47"/>
    </row>
    <row r="55" spans="1:26" ht="15.75" customHeight="1" x14ac:dyDescent="0.2">
      <c r="A55" s="47"/>
      <c r="B55" s="48"/>
      <c r="C55" s="48"/>
      <c r="D55" s="48"/>
      <c r="E55" s="48"/>
      <c r="F55" s="48"/>
      <c r="G55" s="48"/>
      <c r="H55" s="48"/>
      <c r="I55" s="48"/>
      <c r="J55" s="48"/>
      <c r="K55" s="48"/>
      <c r="L55" s="48"/>
      <c r="M55" s="48"/>
      <c r="N55" s="48"/>
      <c r="O55" s="48"/>
      <c r="P55" s="48"/>
      <c r="Q55" s="48"/>
      <c r="R55" s="48"/>
      <c r="S55" s="48"/>
      <c r="T55" s="48"/>
      <c r="U55" s="48"/>
      <c r="V55" s="48"/>
      <c r="W55" s="48"/>
      <c r="X55" s="48"/>
      <c r="Y55" s="48"/>
      <c r="Z55" s="47"/>
    </row>
    <row r="56" spans="1:26" ht="15.75" customHeight="1" x14ac:dyDescent="0.2">
      <c r="A56" s="47"/>
      <c r="B56" s="48"/>
      <c r="C56" s="48"/>
      <c r="D56" s="48"/>
      <c r="E56" s="48"/>
      <c r="F56" s="48"/>
      <c r="G56" s="48"/>
      <c r="H56" s="48"/>
      <c r="I56" s="48"/>
      <c r="J56" s="48"/>
      <c r="K56" s="48"/>
      <c r="L56" s="48"/>
      <c r="M56" s="48"/>
      <c r="N56" s="48"/>
      <c r="O56" s="48"/>
      <c r="P56" s="48"/>
      <c r="Q56" s="48"/>
      <c r="R56" s="48"/>
      <c r="S56" s="48"/>
      <c r="T56" s="48"/>
      <c r="U56" s="48"/>
      <c r="V56" s="48"/>
      <c r="W56" s="48"/>
      <c r="X56" s="48"/>
      <c r="Y56" s="48"/>
      <c r="Z56" s="47"/>
    </row>
    <row r="57" spans="1:26" ht="15.75" customHeight="1" x14ac:dyDescent="0.2">
      <c r="A57" s="47"/>
      <c r="B57" s="48"/>
      <c r="C57" s="48"/>
      <c r="D57" s="48"/>
      <c r="E57" s="48"/>
      <c r="F57" s="48"/>
      <c r="G57" s="48"/>
      <c r="H57" s="48"/>
      <c r="I57" s="48"/>
      <c r="J57" s="48"/>
      <c r="K57" s="48"/>
      <c r="L57" s="48"/>
      <c r="M57" s="48"/>
      <c r="N57" s="48"/>
      <c r="O57" s="48"/>
      <c r="P57" s="48"/>
      <c r="Q57" s="48"/>
      <c r="R57" s="48"/>
      <c r="S57" s="48"/>
      <c r="T57" s="48"/>
      <c r="U57" s="48"/>
      <c r="V57" s="48"/>
      <c r="W57" s="48"/>
      <c r="X57" s="48"/>
      <c r="Y57" s="48"/>
      <c r="Z57" s="47"/>
    </row>
    <row r="58" spans="1:26" ht="15.75" customHeight="1" x14ac:dyDescent="0.2">
      <c r="A58" s="47"/>
      <c r="B58" s="48"/>
      <c r="C58" s="48"/>
      <c r="D58" s="48"/>
      <c r="E58" s="48"/>
      <c r="F58" s="48"/>
      <c r="G58" s="48"/>
      <c r="H58" s="48"/>
      <c r="I58" s="48"/>
      <c r="J58" s="48"/>
      <c r="K58" s="48"/>
      <c r="L58" s="48"/>
      <c r="M58" s="48"/>
      <c r="N58" s="48"/>
      <c r="O58" s="48"/>
      <c r="P58" s="48"/>
      <c r="Q58" s="48"/>
      <c r="R58" s="48"/>
      <c r="S58" s="48"/>
      <c r="T58" s="48"/>
      <c r="U58" s="48"/>
      <c r="V58" s="48"/>
      <c r="W58" s="48"/>
      <c r="X58" s="48"/>
      <c r="Y58" s="48"/>
      <c r="Z58" s="47"/>
    </row>
    <row r="59" spans="1:26" ht="15.75" customHeight="1" x14ac:dyDescent="0.2">
      <c r="A59" s="47"/>
      <c r="B59" s="48"/>
      <c r="C59" s="48"/>
      <c r="D59" s="48"/>
      <c r="E59" s="48"/>
      <c r="F59" s="48"/>
      <c r="G59" s="48"/>
      <c r="H59" s="48"/>
      <c r="I59" s="48"/>
      <c r="J59" s="48"/>
      <c r="K59" s="48"/>
      <c r="L59" s="48"/>
      <c r="M59" s="48"/>
      <c r="N59" s="48"/>
      <c r="O59" s="48"/>
      <c r="P59" s="48"/>
      <c r="Q59" s="48"/>
      <c r="R59" s="48"/>
      <c r="S59" s="48"/>
      <c r="T59" s="48"/>
      <c r="U59" s="48"/>
      <c r="V59" s="48"/>
      <c r="W59" s="48"/>
      <c r="X59" s="48"/>
      <c r="Y59" s="48"/>
      <c r="Z59" s="47"/>
    </row>
    <row r="60" spans="1:26" ht="15.75" customHeight="1" x14ac:dyDescent="0.2">
      <c r="A60" s="47"/>
      <c r="B60" s="48"/>
      <c r="C60" s="48"/>
      <c r="D60" s="48"/>
      <c r="E60" s="48"/>
      <c r="F60" s="48"/>
      <c r="G60" s="48"/>
      <c r="H60" s="48"/>
      <c r="I60" s="48"/>
      <c r="J60" s="48"/>
      <c r="K60" s="48"/>
      <c r="L60" s="48"/>
      <c r="M60" s="48"/>
      <c r="N60" s="48"/>
      <c r="O60" s="48"/>
      <c r="P60" s="48"/>
      <c r="Q60" s="48"/>
      <c r="R60" s="48"/>
      <c r="S60" s="48"/>
      <c r="T60" s="48"/>
      <c r="U60" s="48"/>
      <c r="V60" s="48"/>
      <c r="W60" s="48"/>
      <c r="X60" s="48"/>
      <c r="Y60" s="48"/>
      <c r="Z60" s="47"/>
    </row>
    <row r="61" spans="1:26" ht="15.75" customHeight="1" x14ac:dyDescent="0.2">
      <c r="A61" s="47"/>
      <c r="B61" s="48"/>
      <c r="C61" s="48"/>
      <c r="D61" s="48"/>
      <c r="E61" s="48"/>
      <c r="F61" s="48"/>
      <c r="G61" s="48"/>
      <c r="H61" s="48"/>
      <c r="I61" s="48"/>
      <c r="J61" s="48"/>
      <c r="K61" s="48"/>
      <c r="L61" s="48"/>
      <c r="M61" s="48"/>
      <c r="N61" s="48"/>
      <c r="O61" s="48"/>
      <c r="P61" s="48"/>
      <c r="Q61" s="48"/>
      <c r="R61" s="48"/>
      <c r="S61" s="48"/>
      <c r="T61" s="48"/>
      <c r="U61" s="48"/>
      <c r="V61" s="48"/>
      <c r="W61" s="48"/>
      <c r="X61" s="48"/>
      <c r="Y61" s="48"/>
      <c r="Z61" s="47"/>
    </row>
    <row r="62" spans="1:26" ht="15.75" customHeight="1" x14ac:dyDescent="0.2">
      <c r="A62" s="47"/>
      <c r="B62" s="48"/>
      <c r="C62" s="48"/>
      <c r="D62" s="48"/>
      <c r="E62" s="48"/>
      <c r="F62" s="48"/>
      <c r="G62" s="48"/>
      <c r="H62" s="48"/>
      <c r="I62" s="48"/>
      <c r="J62" s="48"/>
      <c r="K62" s="48"/>
      <c r="L62" s="48"/>
      <c r="M62" s="48"/>
      <c r="N62" s="48"/>
      <c r="O62" s="48"/>
      <c r="P62" s="48"/>
      <c r="Q62" s="48"/>
      <c r="R62" s="48"/>
      <c r="S62" s="48"/>
      <c r="T62" s="48"/>
      <c r="U62" s="48"/>
      <c r="V62" s="48"/>
      <c r="W62" s="48"/>
      <c r="X62" s="48"/>
      <c r="Y62" s="48"/>
      <c r="Z62" s="47"/>
    </row>
    <row r="63" spans="1:26" ht="15.75" customHeight="1" x14ac:dyDescent="0.2">
      <c r="A63" s="47"/>
      <c r="B63" s="48"/>
      <c r="C63" s="48"/>
      <c r="D63" s="48"/>
      <c r="E63" s="48"/>
      <c r="F63" s="48"/>
      <c r="G63" s="48"/>
      <c r="H63" s="48"/>
      <c r="I63" s="48"/>
      <c r="J63" s="48"/>
      <c r="K63" s="48"/>
      <c r="L63" s="48"/>
      <c r="M63" s="48"/>
      <c r="N63" s="48"/>
      <c r="O63" s="48"/>
      <c r="P63" s="48"/>
      <c r="Q63" s="48"/>
      <c r="R63" s="48"/>
      <c r="S63" s="48"/>
      <c r="T63" s="48"/>
      <c r="U63" s="48"/>
      <c r="V63" s="48"/>
      <c r="W63" s="48"/>
      <c r="X63" s="48"/>
      <c r="Y63" s="48"/>
      <c r="Z63" s="47"/>
    </row>
    <row r="64" spans="1:26" ht="15.75" customHeight="1" x14ac:dyDescent="0.2">
      <c r="A64" s="47"/>
      <c r="B64" s="48"/>
      <c r="C64" s="48"/>
      <c r="D64" s="48"/>
      <c r="E64" s="48"/>
      <c r="F64" s="48"/>
      <c r="G64" s="48"/>
      <c r="H64" s="48"/>
      <c r="I64" s="48"/>
      <c r="J64" s="48"/>
      <c r="K64" s="48"/>
      <c r="L64" s="48"/>
      <c r="M64" s="48"/>
      <c r="N64" s="48"/>
      <c r="O64" s="48"/>
      <c r="P64" s="48"/>
      <c r="Q64" s="48"/>
      <c r="R64" s="48"/>
      <c r="S64" s="48"/>
      <c r="T64" s="48"/>
      <c r="U64" s="48"/>
      <c r="V64" s="48"/>
      <c r="W64" s="48"/>
      <c r="X64" s="48"/>
      <c r="Y64" s="48"/>
      <c r="Z64" s="47"/>
    </row>
    <row r="65" spans="1:26" ht="15.75" customHeight="1" x14ac:dyDescent="0.2">
      <c r="A65" s="47"/>
      <c r="B65" s="48"/>
      <c r="C65" s="48"/>
      <c r="D65" s="48"/>
      <c r="E65" s="48"/>
      <c r="F65" s="48"/>
      <c r="G65" s="48"/>
      <c r="H65" s="48"/>
      <c r="I65" s="48"/>
      <c r="J65" s="48"/>
      <c r="K65" s="48"/>
      <c r="L65" s="48"/>
      <c r="M65" s="48"/>
      <c r="N65" s="48"/>
      <c r="O65" s="48"/>
      <c r="P65" s="48"/>
      <c r="Q65" s="48"/>
      <c r="R65" s="48"/>
      <c r="S65" s="48"/>
      <c r="T65" s="48"/>
      <c r="U65" s="48"/>
      <c r="V65" s="48"/>
      <c r="W65" s="48"/>
      <c r="X65" s="48"/>
      <c r="Y65" s="48"/>
      <c r="Z65" s="47"/>
    </row>
    <row r="66" spans="1:26" ht="15.75" customHeight="1" x14ac:dyDescent="0.2">
      <c r="A66" s="47"/>
      <c r="B66" s="48"/>
      <c r="C66" s="48"/>
      <c r="D66" s="48"/>
      <c r="E66" s="48"/>
      <c r="F66" s="48"/>
      <c r="G66" s="48"/>
      <c r="H66" s="48"/>
      <c r="I66" s="48"/>
      <c r="J66" s="48"/>
      <c r="K66" s="48"/>
      <c r="L66" s="48"/>
      <c r="M66" s="48"/>
      <c r="N66" s="48"/>
      <c r="O66" s="48"/>
      <c r="P66" s="48"/>
      <c r="Q66" s="48"/>
      <c r="R66" s="48"/>
      <c r="S66" s="48"/>
      <c r="T66" s="48"/>
      <c r="U66" s="48"/>
      <c r="V66" s="48"/>
      <c r="W66" s="48"/>
      <c r="X66" s="48"/>
      <c r="Y66" s="48"/>
      <c r="Z66" s="47"/>
    </row>
    <row r="67" spans="1:26" ht="15.75" customHeight="1" x14ac:dyDescent="0.2">
      <c r="A67" s="47"/>
      <c r="B67" s="48"/>
      <c r="C67" s="48"/>
      <c r="D67" s="48"/>
      <c r="E67" s="48"/>
      <c r="F67" s="48"/>
      <c r="G67" s="48"/>
      <c r="H67" s="48"/>
      <c r="I67" s="48"/>
      <c r="J67" s="48"/>
      <c r="K67" s="48"/>
      <c r="L67" s="48"/>
      <c r="M67" s="48"/>
      <c r="N67" s="48"/>
      <c r="O67" s="48"/>
      <c r="P67" s="48"/>
      <c r="Q67" s="48"/>
      <c r="R67" s="48"/>
      <c r="S67" s="48"/>
      <c r="T67" s="48"/>
      <c r="U67" s="48"/>
      <c r="V67" s="48"/>
      <c r="W67" s="48"/>
      <c r="X67" s="48"/>
      <c r="Y67" s="48"/>
      <c r="Z67" s="47"/>
    </row>
    <row r="68" spans="1:26" ht="15.75" customHeight="1" x14ac:dyDescent="0.2">
      <c r="A68" s="47"/>
      <c r="B68" s="48"/>
      <c r="C68" s="48"/>
      <c r="D68" s="48"/>
      <c r="E68" s="48"/>
      <c r="F68" s="48"/>
      <c r="G68" s="48"/>
      <c r="H68" s="48"/>
      <c r="I68" s="48"/>
      <c r="J68" s="48"/>
      <c r="K68" s="48"/>
      <c r="L68" s="48"/>
      <c r="M68" s="48"/>
      <c r="N68" s="48"/>
      <c r="O68" s="48"/>
      <c r="P68" s="48"/>
      <c r="Q68" s="48"/>
      <c r="R68" s="48"/>
      <c r="S68" s="48"/>
      <c r="T68" s="48"/>
      <c r="U68" s="48"/>
      <c r="V68" s="48"/>
      <c r="W68" s="48"/>
      <c r="X68" s="48"/>
      <c r="Y68" s="48"/>
      <c r="Z68" s="47"/>
    </row>
    <row r="69" spans="1:26" ht="15.75" customHeight="1" x14ac:dyDescent="0.2">
      <c r="A69" s="47"/>
      <c r="B69" s="48"/>
      <c r="C69" s="48"/>
      <c r="D69" s="48"/>
      <c r="E69" s="48"/>
      <c r="F69" s="48"/>
      <c r="G69" s="48"/>
      <c r="H69" s="48"/>
      <c r="I69" s="48"/>
      <c r="J69" s="48"/>
      <c r="K69" s="48"/>
      <c r="L69" s="48"/>
      <c r="M69" s="48"/>
      <c r="N69" s="48"/>
      <c r="O69" s="48"/>
      <c r="P69" s="48"/>
      <c r="Q69" s="48"/>
      <c r="R69" s="48"/>
      <c r="S69" s="48"/>
      <c r="T69" s="48"/>
      <c r="U69" s="48"/>
      <c r="V69" s="48"/>
      <c r="W69" s="48"/>
      <c r="X69" s="48"/>
      <c r="Y69" s="48"/>
      <c r="Z69" s="47"/>
    </row>
    <row r="70" spans="1:26" ht="15.75" customHeight="1" x14ac:dyDescent="0.2">
      <c r="A70" s="47"/>
      <c r="B70" s="48"/>
      <c r="C70" s="48"/>
      <c r="D70" s="48"/>
      <c r="E70" s="48"/>
      <c r="F70" s="48"/>
      <c r="G70" s="48"/>
      <c r="H70" s="48"/>
      <c r="I70" s="48"/>
      <c r="J70" s="48"/>
      <c r="K70" s="48"/>
      <c r="L70" s="48"/>
      <c r="M70" s="48"/>
      <c r="N70" s="48"/>
      <c r="O70" s="48"/>
      <c r="P70" s="48"/>
      <c r="Q70" s="48"/>
      <c r="R70" s="48"/>
      <c r="S70" s="48"/>
      <c r="T70" s="48"/>
      <c r="U70" s="48"/>
      <c r="V70" s="48"/>
      <c r="W70" s="48"/>
      <c r="X70" s="48"/>
      <c r="Y70" s="48"/>
      <c r="Z70" s="47"/>
    </row>
    <row r="71" spans="1:26" ht="15.75" customHeight="1" x14ac:dyDescent="0.2">
      <c r="A71" s="47"/>
      <c r="B71" s="48"/>
      <c r="C71" s="48"/>
      <c r="D71" s="48"/>
      <c r="E71" s="48"/>
      <c r="F71" s="48"/>
      <c r="G71" s="48"/>
      <c r="H71" s="48"/>
      <c r="I71" s="48"/>
      <c r="J71" s="48"/>
      <c r="K71" s="48"/>
      <c r="L71" s="48"/>
      <c r="M71" s="48"/>
      <c r="N71" s="48"/>
      <c r="O71" s="48"/>
      <c r="P71" s="48"/>
      <c r="Q71" s="48"/>
      <c r="R71" s="48"/>
      <c r="S71" s="48"/>
      <c r="T71" s="48"/>
      <c r="U71" s="48"/>
      <c r="V71" s="48"/>
      <c r="W71" s="48"/>
      <c r="X71" s="48"/>
      <c r="Y71" s="48"/>
      <c r="Z71" s="47"/>
    </row>
    <row r="72" spans="1:26" ht="15.75" customHeight="1" x14ac:dyDescent="0.2">
      <c r="A72" s="47"/>
      <c r="B72" s="48"/>
      <c r="C72" s="48"/>
      <c r="D72" s="48"/>
      <c r="E72" s="48"/>
      <c r="F72" s="48"/>
      <c r="G72" s="48"/>
      <c r="H72" s="48"/>
      <c r="I72" s="48"/>
      <c r="J72" s="48"/>
      <c r="K72" s="48"/>
      <c r="L72" s="48"/>
      <c r="M72" s="48"/>
      <c r="N72" s="48"/>
      <c r="O72" s="48"/>
      <c r="P72" s="48"/>
      <c r="Q72" s="48"/>
      <c r="R72" s="48"/>
      <c r="S72" s="48"/>
      <c r="T72" s="48"/>
      <c r="U72" s="48"/>
      <c r="V72" s="48"/>
      <c r="W72" s="48"/>
      <c r="X72" s="48"/>
      <c r="Y72" s="48"/>
      <c r="Z72" s="47"/>
    </row>
    <row r="73" spans="1:26" ht="15.75" customHeight="1" x14ac:dyDescent="0.2">
      <c r="A73" s="47"/>
      <c r="B73" s="48"/>
      <c r="C73" s="48"/>
      <c r="D73" s="48"/>
      <c r="E73" s="48"/>
      <c r="F73" s="48"/>
      <c r="G73" s="48"/>
      <c r="H73" s="48"/>
      <c r="I73" s="48"/>
      <c r="J73" s="48"/>
      <c r="K73" s="48"/>
      <c r="L73" s="48"/>
      <c r="M73" s="48"/>
      <c r="N73" s="48"/>
      <c r="O73" s="48"/>
      <c r="P73" s="48"/>
      <c r="Q73" s="48"/>
      <c r="R73" s="48"/>
      <c r="S73" s="48"/>
      <c r="T73" s="48"/>
      <c r="U73" s="48"/>
      <c r="V73" s="48"/>
      <c r="W73" s="48"/>
      <c r="X73" s="48"/>
      <c r="Y73" s="48"/>
      <c r="Z73" s="47"/>
    </row>
    <row r="74" spans="1:26" ht="15.75" customHeight="1" x14ac:dyDescent="0.2">
      <c r="A74" s="47"/>
      <c r="B74" s="48"/>
      <c r="C74" s="48"/>
      <c r="D74" s="48"/>
      <c r="E74" s="48"/>
      <c r="F74" s="48"/>
      <c r="G74" s="48"/>
      <c r="H74" s="48"/>
      <c r="I74" s="48"/>
      <c r="J74" s="48"/>
      <c r="K74" s="48"/>
      <c r="L74" s="48"/>
      <c r="M74" s="48"/>
      <c r="N74" s="48"/>
      <c r="O74" s="48"/>
      <c r="P74" s="48"/>
      <c r="Q74" s="48"/>
      <c r="R74" s="48"/>
      <c r="S74" s="48"/>
      <c r="T74" s="48"/>
      <c r="U74" s="48"/>
      <c r="V74" s="48"/>
      <c r="W74" s="48"/>
      <c r="X74" s="48"/>
      <c r="Y74" s="48"/>
      <c r="Z74" s="47"/>
    </row>
    <row r="75" spans="1:26" ht="15.75" customHeight="1" x14ac:dyDescent="0.2">
      <c r="A75" s="47"/>
      <c r="B75" s="48"/>
      <c r="C75" s="48"/>
      <c r="D75" s="48"/>
      <c r="E75" s="48"/>
      <c r="F75" s="48"/>
      <c r="G75" s="48"/>
      <c r="H75" s="48"/>
      <c r="I75" s="48"/>
      <c r="J75" s="48"/>
      <c r="K75" s="48"/>
      <c r="L75" s="48"/>
      <c r="M75" s="48"/>
      <c r="N75" s="48"/>
      <c r="O75" s="48"/>
      <c r="P75" s="48"/>
      <c r="Q75" s="48"/>
      <c r="R75" s="48"/>
      <c r="S75" s="48"/>
      <c r="T75" s="48"/>
      <c r="U75" s="48"/>
      <c r="V75" s="48"/>
      <c r="W75" s="48"/>
      <c r="X75" s="48"/>
      <c r="Y75" s="48"/>
      <c r="Z75" s="47"/>
    </row>
    <row r="76" spans="1:26" ht="15.75" customHeight="1" x14ac:dyDescent="0.2">
      <c r="A76" s="47"/>
      <c r="B76" s="48"/>
      <c r="C76" s="48"/>
      <c r="D76" s="48"/>
      <c r="E76" s="48"/>
      <c r="F76" s="48"/>
      <c r="G76" s="48"/>
      <c r="H76" s="48"/>
      <c r="I76" s="48"/>
      <c r="J76" s="48"/>
      <c r="K76" s="48"/>
      <c r="L76" s="48"/>
      <c r="M76" s="48"/>
      <c r="N76" s="48"/>
      <c r="O76" s="48"/>
      <c r="P76" s="48"/>
      <c r="Q76" s="48"/>
      <c r="R76" s="48"/>
      <c r="S76" s="48"/>
      <c r="T76" s="48"/>
      <c r="U76" s="48"/>
      <c r="V76" s="48"/>
      <c r="W76" s="48"/>
      <c r="X76" s="48"/>
      <c r="Y76" s="48"/>
      <c r="Z76" s="47"/>
    </row>
    <row r="77" spans="1:26" ht="15.75" customHeight="1" x14ac:dyDescent="0.2">
      <c r="A77" s="47"/>
      <c r="B77" s="48"/>
      <c r="C77" s="48"/>
      <c r="D77" s="48"/>
      <c r="E77" s="48"/>
      <c r="F77" s="48"/>
      <c r="G77" s="48"/>
      <c r="H77" s="48"/>
      <c r="I77" s="48"/>
      <c r="J77" s="48"/>
      <c r="K77" s="48"/>
      <c r="L77" s="48"/>
      <c r="M77" s="48"/>
      <c r="N77" s="48"/>
      <c r="O77" s="48"/>
      <c r="P77" s="48"/>
      <c r="Q77" s="48"/>
      <c r="R77" s="48"/>
      <c r="S77" s="48"/>
      <c r="T77" s="48"/>
      <c r="U77" s="48"/>
      <c r="V77" s="48"/>
      <c r="W77" s="48"/>
      <c r="X77" s="48"/>
      <c r="Y77" s="48"/>
      <c r="Z77" s="47"/>
    </row>
    <row r="78" spans="1:26" ht="15.75" customHeight="1" x14ac:dyDescent="0.2">
      <c r="A78" s="47"/>
      <c r="B78" s="48"/>
      <c r="C78" s="48"/>
      <c r="D78" s="48"/>
      <c r="E78" s="48"/>
      <c r="F78" s="48"/>
      <c r="G78" s="48"/>
      <c r="H78" s="48"/>
      <c r="I78" s="48"/>
      <c r="J78" s="48"/>
      <c r="K78" s="48"/>
      <c r="L78" s="48"/>
      <c r="M78" s="48"/>
      <c r="N78" s="48"/>
      <c r="O78" s="48"/>
      <c r="P78" s="48"/>
      <c r="Q78" s="48"/>
      <c r="R78" s="48"/>
      <c r="S78" s="48"/>
      <c r="T78" s="48"/>
      <c r="U78" s="48"/>
      <c r="V78" s="48"/>
      <c r="W78" s="48"/>
      <c r="X78" s="48"/>
      <c r="Y78" s="48"/>
      <c r="Z78" s="47"/>
    </row>
    <row r="79" spans="1:26" ht="15.75" customHeight="1" x14ac:dyDescent="0.2">
      <c r="A79" s="47"/>
      <c r="B79" s="48"/>
      <c r="C79" s="48"/>
      <c r="D79" s="48"/>
      <c r="E79" s="48"/>
      <c r="F79" s="48"/>
      <c r="G79" s="48"/>
      <c r="H79" s="48"/>
      <c r="I79" s="48"/>
      <c r="J79" s="48"/>
      <c r="K79" s="48"/>
      <c r="L79" s="48"/>
      <c r="M79" s="48"/>
      <c r="N79" s="48"/>
      <c r="O79" s="48"/>
      <c r="P79" s="48"/>
      <c r="Q79" s="48"/>
      <c r="R79" s="48"/>
      <c r="S79" s="48"/>
      <c r="T79" s="48"/>
      <c r="U79" s="48"/>
      <c r="V79" s="48"/>
      <c r="W79" s="48"/>
      <c r="X79" s="48"/>
      <c r="Y79" s="48"/>
      <c r="Z79" s="47"/>
    </row>
    <row r="80" spans="1:26" ht="15.75" customHeight="1" x14ac:dyDescent="0.2">
      <c r="A80" s="47"/>
      <c r="B80" s="48"/>
      <c r="C80" s="48"/>
      <c r="D80" s="48"/>
      <c r="E80" s="48"/>
      <c r="F80" s="48"/>
      <c r="G80" s="48"/>
      <c r="H80" s="48"/>
      <c r="I80" s="48"/>
      <c r="J80" s="48"/>
      <c r="K80" s="48"/>
      <c r="L80" s="48"/>
      <c r="M80" s="48"/>
      <c r="N80" s="48"/>
      <c r="O80" s="48"/>
      <c r="P80" s="48"/>
      <c r="Q80" s="48"/>
      <c r="R80" s="48"/>
      <c r="S80" s="48"/>
      <c r="T80" s="48"/>
      <c r="U80" s="48"/>
      <c r="V80" s="48"/>
      <c r="W80" s="48"/>
      <c r="X80" s="48"/>
      <c r="Y80" s="48"/>
      <c r="Z80" s="47"/>
    </row>
    <row r="81" spans="1:26" ht="15.75" customHeight="1" x14ac:dyDescent="0.2">
      <c r="A81" s="47"/>
      <c r="B81" s="48"/>
      <c r="C81" s="48"/>
      <c r="D81" s="48"/>
      <c r="E81" s="48"/>
      <c r="F81" s="48"/>
      <c r="G81" s="48"/>
      <c r="H81" s="48"/>
      <c r="I81" s="48"/>
      <c r="J81" s="48"/>
      <c r="K81" s="48"/>
      <c r="L81" s="48"/>
      <c r="M81" s="48"/>
      <c r="N81" s="48"/>
      <c r="O81" s="48"/>
      <c r="P81" s="48"/>
      <c r="Q81" s="48"/>
      <c r="R81" s="48"/>
      <c r="S81" s="48"/>
      <c r="T81" s="48"/>
      <c r="U81" s="48"/>
      <c r="V81" s="48"/>
      <c r="W81" s="48"/>
      <c r="X81" s="48"/>
      <c r="Y81" s="48"/>
      <c r="Z81" s="47"/>
    </row>
    <row r="82" spans="1:26" ht="15.75" customHeight="1" x14ac:dyDescent="0.2">
      <c r="A82" s="47"/>
      <c r="B82" s="48"/>
      <c r="C82" s="48"/>
      <c r="D82" s="48"/>
      <c r="E82" s="48"/>
      <c r="F82" s="48"/>
      <c r="G82" s="48"/>
      <c r="H82" s="48"/>
      <c r="I82" s="48"/>
      <c r="J82" s="48"/>
      <c r="K82" s="48"/>
      <c r="L82" s="48"/>
      <c r="M82" s="48"/>
      <c r="N82" s="48"/>
      <c r="O82" s="48"/>
      <c r="P82" s="48"/>
      <c r="Q82" s="48"/>
      <c r="R82" s="48"/>
      <c r="S82" s="48"/>
      <c r="T82" s="48"/>
      <c r="U82" s="48"/>
      <c r="V82" s="48"/>
      <c r="W82" s="48"/>
      <c r="X82" s="48"/>
      <c r="Y82" s="48"/>
      <c r="Z82" s="47"/>
    </row>
    <row r="83" spans="1:26" ht="15.75" customHeight="1" x14ac:dyDescent="0.2">
      <c r="A83" s="47"/>
      <c r="B83" s="48"/>
      <c r="C83" s="48"/>
      <c r="D83" s="48"/>
      <c r="E83" s="48"/>
      <c r="F83" s="48"/>
      <c r="G83" s="48"/>
      <c r="H83" s="48"/>
      <c r="I83" s="48"/>
      <c r="J83" s="48"/>
      <c r="K83" s="48"/>
      <c r="L83" s="48"/>
      <c r="M83" s="48"/>
      <c r="N83" s="48"/>
      <c r="O83" s="48"/>
      <c r="P83" s="48"/>
      <c r="Q83" s="48"/>
      <c r="R83" s="48"/>
      <c r="S83" s="48"/>
      <c r="T83" s="48"/>
      <c r="U83" s="48"/>
      <c r="V83" s="48"/>
      <c r="W83" s="48"/>
      <c r="X83" s="48"/>
      <c r="Y83" s="48"/>
      <c r="Z83" s="47"/>
    </row>
    <row r="84" spans="1:26" ht="15.75" customHeight="1" x14ac:dyDescent="0.2">
      <c r="A84" s="47"/>
      <c r="B84" s="48"/>
      <c r="C84" s="48"/>
      <c r="D84" s="48"/>
      <c r="E84" s="48"/>
      <c r="F84" s="48"/>
      <c r="G84" s="48"/>
      <c r="H84" s="48"/>
      <c r="I84" s="48"/>
      <c r="J84" s="48"/>
      <c r="K84" s="48"/>
      <c r="L84" s="48"/>
      <c r="M84" s="48"/>
      <c r="N84" s="48"/>
      <c r="O84" s="48"/>
      <c r="P84" s="48"/>
      <c r="Q84" s="48"/>
      <c r="R84" s="48"/>
      <c r="S84" s="48"/>
      <c r="T84" s="48"/>
      <c r="U84" s="48"/>
      <c r="V84" s="48"/>
      <c r="W84" s="48"/>
      <c r="X84" s="48"/>
      <c r="Y84" s="48"/>
      <c r="Z84" s="47"/>
    </row>
    <row r="85" spans="1:26" ht="15.75" customHeight="1" x14ac:dyDescent="0.2">
      <c r="A85" s="47"/>
      <c r="B85" s="48"/>
      <c r="C85" s="48"/>
      <c r="D85" s="48"/>
      <c r="E85" s="48"/>
      <c r="F85" s="48"/>
      <c r="G85" s="48"/>
      <c r="H85" s="48"/>
      <c r="I85" s="48"/>
      <c r="J85" s="48"/>
      <c r="K85" s="48"/>
      <c r="L85" s="48"/>
      <c r="M85" s="48"/>
      <c r="N85" s="48"/>
      <c r="O85" s="48"/>
      <c r="P85" s="48"/>
      <c r="Q85" s="48"/>
      <c r="R85" s="48"/>
      <c r="S85" s="48"/>
      <c r="T85" s="48"/>
      <c r="U85" s="48"/>
      <c r="V85" s="48"/>
      <c r="W85" s="48"/>
      <c r="X85" s="48"/>
      <c r="Y85" s="48"/>
      <c r="Z85" s="47"/>
    </row>
    <row r="86" spans="1:26" ht="15.75" customHeight="1" x14ac:dyDescent="0.2">
      <c r="A86" s="47"/>
      <c r="B86" s="48"/>
      <c r="C86" s="48"/>
      <c r="D86" s="48"/>
      <c r="E86" s="48"/>
      <c r="F86" s="48"/>
      <c r="G86" s="48"/>
      <c r="H86" s="48"/>
      <c r="I86" s="48"/>
      <c r="J86" s="48"/>
      <c r="K86" s="48"/>
      <c r="L86" s="48"/>
      <c r="M86" s="48"/>
      <c r="N86" s="48"/>
      <c r="O86" s="48"/>
      <c r="P86" s="48"/>
      <c r="Q86" s="48"/>
      <c r="R86" s="48"/>
      <c r="S86" s="48"/>
      <c r="T86" s="48"/>
      <c r="U86" s="48"/>
      <c r="V86" s="48"/>
      <c r="W86" s="48"/>
      <c r="X86" s="48"/>
      <c r="Y86" s="48"/>
      <c r="Z86" s="47"/>
    </row>
    <row r="87" spans="1:26" ht="15.75" customHeight="1" x14ac:dyDescent="0.2">
      <c r="A87" s="47"/>
      <c r="B87" s="48"/>
      <c r="C87" s="48"/>
      <c r="D87" s="48"/>
      <c r="E87" s="48"/>
      <c r="F87" s="48"/>
      <c r="G87" s="48"/>
      <c r="H87" s="48"/>
      <c r="I87" s="48"/>
      <c r="J87" s="48"/>
      <c r="K87" s="48"/>
      <c r="L87" s="48"/>
      <c r="M87" s="48"/>
      <c r="N87" s="48"/>
      <c r="O87" s="48"/>
      <c r="P87" s="48"/>
      <c r="Q87" s="48"/>
      <c r="R87" s="48"/>
      <c r="S87" s="48"/>
      <c r="T87" s="48"/>
      <c r="U87" s="48"/>
      <c r="V87" s="48"/>
      <c r="W87" s="48"/>
      <c r="X87" s="48"/>
      <c r="Y87" s="48"/>
      <c r="Z87" s="47"/>
    </row>
    <row r="88" spans="1:26" ht="15.75" customHeight="1" x14ac:dyDescent="0.2">
      <c r="A88" s="47"/>
      <c r="B88" s="48"/>
      <c r="C88" s="48"/>
      <c r="D88" s="48"/>
      <c r="E88" s="48"/>
      <c r="F88" s="48"/>
      <c r="G88" s="48"/>
      <c r="H88" s="48"/>
      <c r="I88" s="48"/>
      <c r="J88" s="48"/>
      <c r="K88" s="48"/>
      <c r="L88" s="48"/>
      <c r="M88" s="48"/>
      <c r="N88" s="48"/>
      <c r="O88" s="48"/>
      <c r="P88" s="48"/>
      <c r="Q88" s="48"/>
      <c r="R88" s="48"/>
      <c r="S88" s="48"/>
      <c r="T88" s="48"/>
      <c r="U88" s="48"/>
      <c r="V88" s="48"/>
      <c r="W88" s="48"/>
      <c r="X88" s="48"/>
      <c r="Y88" s="48"/>
      <c r="Z88" s="47"/>
    </row>
    <row r="89" spans="1:26" ht="15.75" customHeight="1" x14ac:dyDescent="0.2">
      <c r="A89" s="47"/>
      <c r="B89" s="48"/>
      <c r="C89" s="48"/>
      <c r="D89" s="48"/>
      <c r="E89" s="48"/>
      <c r="F89" s="48"/>
      <c r="G89" s="48"/>
      <c r="H89" s="48"/>
      <c r="I89" s="48"/>
      <c r="J89" s="48"/>
      <c r="K89" s="48"/>
      <c r="L89" s="48"/>
      <c r="M89" s="48"/>
      <c r="N89" s="48"/>
      <c r="O89" s="48"/>
      <c r="P89" s="48"/>
      <c r="Q89" s="48"/>
      <c r="R89" s="48"/>
      <c r="S89" s="48"/>
      <c r="T89" s="48"/>
      <c r="U89" s="48"/>
      <c r="V89" s="48"/>
      <c r="W89" s="48"/>
      <c r="X89" s="48"/>
      <c r="Y89" s="48"/>
      <c r="Z89" s="47"/>
    </row>
    <row r="90" spans="1:26" ht="15.75" customHeight="1" x14ac:dyDescent="0.2">
      <c r="A90" s="47"/>
      <c r="B90" s="48"/>
      <c r="C90" s="48"/>
      <c r="D90" s="48"/>
      <c r="E90" s="48"/>
      <c r="F90" s="48"/>
      <c r="G90" s="48"/>
      <c r="H90" s="48"/>
      <c r="I90" s="48"/>
      <c r="J90" s="48"/>
      <c r="K90" s="48"/>
      <c r="L90" s="48"/>
      <c r="M90" s="48"/>
      <c r="N90" s="48"/>
      <c r="O90" s="48"/>
      <c r="P90" s="48"/>
      <c r="Q90" s="48"/>
      <c r="R90" s="48"/>
      <c r="S90" s="48"/>
      <c r="T90" s="48"/>
      <c r="U90" s="48"/>
      <c r="V90" s="48"/>
      <c r="W90" s="48"/>
      <c r="X90" s="48"/>
      <c r="Y90" s="48"/>
      <c r="Z90" s="47"/>
    </row>
    <row r="91" spans="1:26" ht="15.75" customHeight="1" x14ac:dyDescent="0.2">
      <c r="A91" s="47"/>
      <c r="B91" s="48"/>
      <c r="C91" s="48"/>
      <c r="D91" s="48"/>
      <c r="E91" s="48"/>
      <c r="F91" s="48"/>
      <c r="G91" s="48"/>
      <c r="H91" s="48"/>
      <c r="I91" s="48"/>
      <c r="J91" s="48"/>
      <c r="K91" s="48"/>
      <c r="L91" s="48"/>
      <c r="M91" s="48"/>
      <c r="N91" s="48"/>
      <c r="O91" s="48"/>
      <c r="P91" s="48"/>
      <c r="Q91" s="48"/>
      <c r="R91" s="48"/>
      <c r="S91" s="48"/>
      <c r="T91" s="48"/>
      <c r="U91" s="48"/>
      <c r="V91" s="48"/>
      <c r="W91" s="48"/>
      <c r="X91" s="48"/>
      <c r="Y91" s="48"/>
      <c r="Z91" s="47"/>
    </row>
    <row r="92" spans="1:26" ht="15.75" customHeight="1" x14ac:dyDescent="0.2">
      <c r="A92" s="47"/>
      <c r="B92" s="48"/>
      <c r="C92" s="48"/>
      <c r="D92" s="48"/>
      <c r="E92" s="48"/>
      <c r="F92" s="48"/>
      <c r="G92" s="48"/>
      <c r="H92" s="48"/>
      <c r="I92" s="48"/>
      <c r="J92" s="48"/>
      <c r="K92" s="48"/>
      <c r="L92" s="48"/>
      <c r="M92" s="48"/>
      <c r="N92" s="48"/>
      <c r="O92" s="48"/>
      <c r="P92" s="48"/>
      <c r="Q92" s="48"/>
      <c r="R92" s="48"/>
      <c r="S92" s="48"/>
      <c r="T92" s="48"/>
      <c r="U92" s="48"/>
      <c r="V92" s="48"/>
      <c r="W92" s="48"/>
      <c r="X92" s="48"/>
      <c r="Y92" s="48"/>
      <c r="Z92" s="47"/>
    </row>
    <row r="93" spans="1:26" ht="15.75" customHeight="1" x14ac:dyDescent="0.2">
      <c r="A93" s="47"/>
      <c r="B93" s="48"/>
      <c r="C93" s="48"/>
      <c r="D93" s="48"/>
      <c r="E93" s="48"/>
      <c r="F93" s="48"/>
      <c r="G93" s="48"/>
      <c r="H93" s="48"/>
      <c r="I93" s="48"/>
      <c r="J93" s="48"/>
      <c r="K93" s="48"/>
      <c r="L93" s="48"/>
      <c r="M93" s="48"/>
      <c r="N93" s="48"/>
      <c r="O93" s="48"/>
      <c r="P93" s="48"/>
      <c r="Q93" s="48"/>
      <c r="R93" s="48"/>
      <c r="S93" s="48"/>
      <c r="T93" s="48"/>
      <c r="U93" s="48"/>
      <c r="V93" s="48"/>
      <c r="W93" s="48"/>
      <c r="X93" s="48"/>
      <c r="Y93" s="48"/>
      <c r="Z93" s="47"/>
    </row>
    <row r="94" spans="1:26" ht="15.75" customHeight="1" x14ac:dyDescent="0.2">
      <c r="A94" s="47"/>
      <c r="B94" s="48"/>
      <c r="C94" s="48"/>
      <c r="D94" s="48"/>
      <c r="E94" s="48"/>
      <c r="F94" s="48"/>
      <c r="G94" s="48"/>
      <c r="H94" s="48"/>
      <c r="I94" s="48"/>
      <c r="J94" s="48"/>
      <c r="K94" s="48"/>
      <c r="L94" s="48"/>
      <c r="M94" s="48"/>
      <c r="N94" s="48"/>
      <c r="O94" s="48"/>
      <c r="P94" s="48"/>
      <c r="Q94" s="48"/>
      <c r="R94" s="48"/>
      <c r="S94" s="48"/>
      <c r="T94" s="48"/>
      <c r="U94" s="48"/>
      <c r="V94" s="48"/>
      <c r="W94" s="48"/>
      <c r="X94" s="48"/>
      <c r="Y94" s="48"/>
      <c r="Z94" s="47"/>
    </row>
    <row r="95" spans="1:26" ht="15.75" customHeight="1" x14ac:dyDescent="0.2">
      <c r="A95" s="47"/>
      <c r="B95" s="48"/>
      <c r="C95" s="48"/>
      <c r="D95" s="48"/>
      <c r="E95" s="48"/>
      <c r="F95" s="48"/>
      <c r="G95" s="48"/>
      <c r="H95" s="48"/>
      <c r="I95" s="48"/>
      <c r="J95" s="48"/>
      <c r="K95" s="48"/>
      <c r="L95" s="48"/>
      <c r="M95" s="48"/>
      <c r="N95" s="48"/>
      <c r="O95" s="48"/>
      <c r="P95" s="48"/>
      <c r="Q95" s="48"/>
      <c r="R95" s="48"/>
      <c r="S95" s="48"/>
      <c r="T95" s="48"/>
      <c r="U95" s="48"/>
      <c r="V95" s="48"/>
      <c r="W95" s="48"/>
      <c r="X95" s="48"/>
      <c r="Y95" s="48"/>
      <c r="Z95" s="47"/>
    </row>
    <row r="96" spans="1:26" ht="15.75" customHeight="1" x14ac:dyDescent="0.2">
      <c r="A96" s="47"/>
      <c r="B96" s="48"/>
      <c r="C96" s="48"/>
      <c r="D96" s="48"/>
      <c r="E96" s="48"/>
      <c r="F96" s="48"/>
      <c r="G96" s="48"/>
      <c r="H96" s="48"/>
      <c r="I96" s="48"/>
      <c r="J96" s="48"/>
      <c r="K96" s="48"/>
      <c r="L96" s="48"/>
      <c r="M96" s="48"/>
      <c r="N96" s="48"/>
      <c r="O96" s="48"/>
      <c r="P96" s="48"/>
      <c r="Q96" s="48"/>
      <c r="R96" s="48"/>
      <c r="S96" s="48"/>
      <c r="T96" s="48"/>
      <c r="U96" s="48"/>
      <c r="V96" s="48"/>
      <c r="W96" s="48"/>
      <c r="X96" s="48"/>
      <c r="Y96" s="48"/>
      <c r="Z96" s="47"/>
    </row>
    <row r="97" spans="1:26" ht="15.75" customHeight="1" x14ac:dyDescent="0.2">
      <c r="A97" s="47"/>
      <c r="B97" s="48"/>
      <c r="C97" s="48"/>
      <c r="D97" s="48"/>
      <c r="E97" s="48"/>
      <c r="F97" s="48"/>
      <c r="G97" s="48"/>
      <c r="H97" s="48"/>
      <c r="I97" s="48"/>
      <c r="J97" s="48"/>
      <c r="K97" s="48"/>
      <c r="L97" s="48"/>
      <c r="M97" s="48"/>
      <c r="N97" s="48"/>
      <c r="O97" s="48"/>
      <c r="P97" s="48"/>
      <c r="Q97" s="48"/>
      <c r="R97" s="48"/>
      <c r="S97" s="48"/>
      <c r="T97" s="48"/>
      <c r="U97" s="48"/>
      <c r="V97" s="48"/>
      <c r="W97" s="48"/>
      <c r="X97" s="48"/>
      <c r="Y97" s="48"/>
      <c r="Z97" s="47"/>
    </row>
    <row r="98" spans="1:26" ht="15.75" customHeight="1" x14ac:dyDescent="0.2">
      <c r="A98" s="47"/>
      <c r="B98" s="48"/>
      <c r="C98" s="48"/>
      <c r="D98" s="48"/>
      <c r="E98" s="48"/>
      <c r="F98" s="48"/>
      <c r="G98" s="48"/>
      <c r="H98" s="48"/>
      <c r="I98" s="48"/>
      <c r="J98" s="48"/>
      <c r="K98" s="48"/>
      <c r="L98" s="48"/>
      <c r="M98" s="48"/>
      <c r="N98" s="48"/>
      <c r="O98" s="48"/>
      <c r="P98" s="48"/>
      <c r="Q98" s="48"/>
      <c r="R98" s="48"/>
      <c r="S98" s="48"/>
      <c r="T98" s="48"/>
      <c r="U98" s="48"/>
      <c r="V98" s="48"/>
      <c r="W98" s="48"/>
      <c r="X98" s="48"/>
      <c r="Y98" s="48"/>
      <c r="Z98" s="47"/>
    </row>
    <row r="99" spans="1:26" ht="15.75" customHeight="1" x14ac:dyDescent="0.2">
      <c r="A99" s="47"/>
      <c r="B99" s="48"/>
      <c r="C99" s="48"/>
      <c r="D99" s="48"/>
      <c r="E99" s="48"/>
      <c r="F99" s="48"/>
      <c r="G99" s="48"/>
      <c r="H99" s="48"/>
      <c r="I99" s="48"/>
      <c r="J99" s="48"/>
      <c r="K99" s="48"/>
      <c r="L99" s="48"/>
      <c r="M99" s="48"/>
      <c r="N99" s="48"/>
      <c r="O99" s="48"/>
      <c r="P99" s="48"/>
      <c r="Q99" s="48"/>
      <c r="R99" s="48"/>
      <c r="S99" s="48"/>
      <c r="T99" s="48"/>
      <c r="U99" s="48"/>
      <c r="V99" s="48"/>
      <c r="W99" s="48"/>
      <c r="X99" s="48"/>
      <c r="Y99" s="48"/>
      <c r="Z99" s="47"/>
    </row>
    <row r="100" spans="1:26" ht="15.75" customHeight="1" x14ac:dyDescent="0.2">
      <c r="A100" s="47"/>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7"/>
    </row>
    <row r="101" spans="1:26" ht="15.75" customHeight="1" x14ac:dyDescent="0.2">
      <c r="A101" s="47"/>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7"/>
    </row>
    <row r="102" spans="1:26" ht="15.75" customHeight="1" x14ac:dyDescent="0.2">
      <c r="A102" s="47"/>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7"/>
    </row>
    <row r="103" spans="1:26" ht="15.75" customHeight="1" x14ac:dyDescent="0.2">
      <c r="A103" s="47"/>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7"/>
    </row>
    <row r="104" spans="1:26" ht="15.75" customHeight="1" x14ac:dyDescent="0.2">
      <c r="A104" s="47"/>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7"/>
    </row>
    <row r="105" spans="1:26" ht="15.75" customHeight="1" x14ac:dyDescent="0.2">
      <c r="A105" s="47"/>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7"/>
    </row>
    <row r="106" spans="1:26" ht="15.75" customHeight="1" x14ac:dyDescent="0.2">
      <c r="A106" s="47"/>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7"/>
    </row>
    <row r="107" spans="1:26" ht="15.75" customHeight="1" x14ac:dyDescent="0.2">
      <c r="A107" s="47"/>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7"/>
    </row>
    <row r="108" spans="1:26" ht="15.75" customHeight="1" x14ac:dyDescent="0.2">
      <c r="A108" s="47"/>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7"/>
    </row>
    <row r="109" spans="1:26" ht="15.75" customHeight="1" x14ac:dyDescent="0.2">
      <c r="A109" s="47"/>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7"/>
    </row>
    <row r="110" spans="1:26" ht="15.75" customHeight="1" x14ac:dyDescent="0.2">
      <c r="A110" s="47"/>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7"/>
    </row>
    <row r="111" spans="1:26" ht="15.75" customHeight="1" x14ac:dyDescent="0.2">
      <c r="A111" s="47"/>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7"/>
    </row>
    <row r="112" spans="1:26" ht="15.75" customHeight="1" x14ac:dyDescent="0.2">
      <c r="A112" s="47"/>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7"/>
    </row>
    <row r="113" spans="1:26" ht="15.75" customHeight="1" x14ac:dyDescent="0.2">
      <c r="A113" s="47"/>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7"/>
    </row>
    <row r="114" spans="1:26" ht="15.75" customHeight="1" x14ac:dyDescent="0.2">
      <c r="A114" s="47"/>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7"/>
    </row>
    <row r="115" spans="1:26" ht="15.75" customHeight="1" x14ac:dyDescent="0.2">
      <c r="A115" s="47"/>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7"/>
    </row>
    <row r="116" spans="1:26" ht="15.75" customHeight="1" x14ac:dyDescent="0.2">
      <c r="A116" s="47"/>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7"/>
    </row>
    <row r="117" spans="1:26" ht="15.75" customHeight="1" x14ac:dyDescent="0.2">
      <c r="A117" s="47"/>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7"/>
    </row>
    <row r="118" spans="1:26" ht="15.75" customHeight="1" x14ac:dyDescent="0.2">
      <c r="A118" s="47"/>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7"/>
    </row>
    <row r="119" spans="1:26" ht="15.75" customHeight="1" x14ac:dyDescent="0.2">
      <c r="A119" s="47"/>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7"/>
    </row>
    <row r="120" spans="1:26" ht="15.75" customHeight="1" x14ac:dyDescent="0.2">
      <c r="A120" s="47"/>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7"/>
    </row>
    <row r="121" spans="1:26" ht="15.75" customHeight="1" x14ac:dyDescent="0.2">
      <c r="A121" s="47"/>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7"/>
    </row>
    <row r="122" spans="1:26" ht="15.75" customHeight="1" x14ac:dyDescent="0.2">
      <c r="A122" s="47"/>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7"/>
    </row>
    <row r="123" spans="1:26" ht="15.75" customHeight="1" x14ac:dyDescent="0.2">
      <c r="A123" s="47"/>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7"/>
    </row>
    <row r="124" spans="1:26" ht="15.75" customHeight="1" x14ac:dyDescent="0.2">
      <c r="A124" s="47"/>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7"/>
    </row>
    <row r="125" spans="1:26" ht="15.75" customHeight="1" x14ac:dyDescent="0.2">
      <c r="A125" s="47"/>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7"/>
    </row>
    <row r="126" spans="1:26" ht="15.75" customHeight="1" x14ac:dyDescent="0.2">
      <c r="A126" s="47"/>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7"/>
    </row>
    <row r="127" spans="1:26" ht="15.75" customHeight="1" x14ac:dyDescent="0.2">
      <c r="A127" s="47"/>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7"/>
    </row>
    <row r="128" spans="1:26" ht="15.75" customHeight="1" x14ac:dyDescent="0.2">
      <c r="A128" s="47"/>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7"/>
    </row>
    <row r="129" spans="1:26" ht="15.75" customHeight="1" x14ac:dyDescent="0.2">
      <c r="A129" s="47"/>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7"/>
    </row>
    <row r="130" spans="1:26" ht="15.75" customHeight="1" x14ac:dyDescent="0.2">
      <c r="A130" s="47"/>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7"/>
    </row>
    <row r="131" spans="1:26" ht="15.75" customHeight="1" x14ac:dyDescent="0.2">
      <c r="A131" s="47"/>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7"/>
    </row>
    <row r="132" spans="1:26" ht="15.75" customHeight="1" x14ac:dyDescent="0.2">
      <c r="A132" s="47"/>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7"/>
    </row>
    <row r="133" spans="1:26" ht="15.75" customHeight="1" x14ac:dyDescent="0.2">
      <c r="A133" s="47"/>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7"/>
    </row>
    <row r="134" spans="1:26" ht="15.75" customHeight="1" x14ac:dyDescent="0.2">
      <c r="A134" s="47"/>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7"/>
    </row>
    <row r="135" spans="1:26" ht="15.75" customHeight="1" x14ac:dyDescent="0.2">
      <c r="A135" s="47"/>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7"/>
    </row>
    <row r="136" spans="1:26" ht="15.75" customHeight="1" x14ac:dyDescent="0.2">
      <c r="A136" s="47"/>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7"/>
    </row>
    <row r="137" spans="1:26" ht="15.75" customHeight="1" x14ac:dyDescent="0.2">
      <c r="A137" s="47"/>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7"/>
    </row>
    <row r="138" spans="1:26" ht="15.75" customHeight="1" x14ac:dyDescent="0.2">
      <c r="A138" s="47"/>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7"/>
    </row>
    <row r="139" spans="1:26" ht="15.75" customHeight="1" x14ac:dyDescent="0.2">
      <c r="A139" s="47"/>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7"/>
    </row>
    <row r="140" spans="1:26" ht="15.75" customHeight="1" x14ac:dyDescent="0.2">
      <c r="A140" s="47"/>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7"/>
    </row>
    <row r="141" spans="1:26" ht="15.75" customHeight="1" x14ac:dyDescent="0.2">
      <c r="A141" s="47"/>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7"/>
    </row>
    <row r="142" spans="1:26" ht="15.75" customHeight="1" x14ac:dyDescent="0.2">
      <c r="A142" s="47"/>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7"/>
    </row>
    <row r="143" spans="1:26" ht="15.75" customHeight="1" x14ac:dyDescent="0.2">
      <c r="A143" s="47"/>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7"/>
    </row>
    <row r="144" spans="1:26" ht="15.75" customHeight="1" x14ac:dyDescent="0.2">
      <c r="A144" s="47"/>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7"/>
    </row>
    <row r="145" spans="1:26" ht="15.75" customHeight="1" x14ac:dyDescent="0.2">
      <c r="A145" s="47"/>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7"/>
    </row>
    <row r="146" spans="1:26" ht="15.75" customHeight="1" x14ac:dyDescent="0.2">
      <c r="A146" s="47"/>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7"/>
    </row>
    <row r="147" spans="1:26" ht="15.75" customHeight="1" x14ac:dyDescent="0.2">
      <c r="A147" s="47"/>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7"/>
    </row>
    <row r="148" spans="1:26" ht="15.75" customHeight="1" x14ac:dyDescent="0.2">
      <c r="A148" s="47"/>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7"/>
    </row>
    <row r="149" spans="1:26" ht="15.75" customHeight="1" x14ac:dyDescent="0.2">
      <c r="A149" s="47"/>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7"/>
    </row>
    <row r="150" spans="1:26" ht="15.75" customHeight="1" x14ac:dyDescent="0.2">
      <c r="A150" s="47"/>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7"/>
    </row>
    <row r="151" spans="1:26" ht="15.75" customHeight="1" x14ac:dyDescent="0.2">
      <c r="A151" s="47"/>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7"/>
    </row>
    <row r="152" spans="1:26" ht="15.75" customHeight="1" x14ac:dyDescent="0.2">
      <c r="A152" s="47"/>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7"/>
    </row>
    <row r="153" spans="1:26" ht="15.75" customHeight="1" x14ac:dyDescent="0.2">
      <c r="A153" s="47"/>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7"/>
    </row>
    <row r="154" spans="1:26" ht="15.75" customHeight="1" x14ac:dyDescent="0.2">
      <c r="A154" s="47"/>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7"/>
    </row>
    <row r="155" spans="1:26" ht="15.75" customHeight="1" x14ac:dyDescent="0.2">
      <c r="A155" s="47"/>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7"/>
    </row>
    <row r="156" spans="1:26" ht="15.75" customHeight="1" x14ac:dyDescent="0.2">
      <c r="A156" s="47"/>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7"/>
    </row>
    <row r="157" spans="1:26" ht="15.75" customHeight="1" x14ac:dyDescent="0.2">
      <c r="A157" s="47"/>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7"/>
    </row>
    <row r="158" spans="1:26" ht="15.75" customHeight="1" x14ac:dyDescent="0.2">
      <c r="A158" s="47"/>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7"/>
    </row>
    <row r="159" spans="1:26" ht="15.75" customHeight="1" x14ac:dyDescent="0.2">
      <c r="A159" s="47"/>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7"/>
    </row>
    <row r="160" spans="1:26" ht="15.75" customHeight="1" x14ac:dyDescent="0.2">
      <c r="A160" s="47"/>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7"/>
    </row>
    <row r="161" spans="1:26" ht="15.75" customHeight="1" x14ac:dyDescent="0.2">
      <c r="A161" s="47"/>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7"/>
    </row>
    <row r="162" spans="1:26" ht="15.75" customHeight="1" x14ac:dyDescent="0.2">
      <c r="A162" s="47"/>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7"/>
    </row>
    <row r="163" spans="1:26" ht="15.75" customHeight="1" x14ac:dyDescent="0.2">
      <c r="A163" s="47"/>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7"/>
    </row>
    <row r="164" spans="1:26" ht="15.75" customHeight="1" x14ac:dyDescent="0.2">
      <c r="A164" s="47"/>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7"/>
    </row>
    <row r="165" spans="1:26" ht="15.75" customHeight="1" x14ac:dyDescent="0.2">
      <c r="A165" s="47"/>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7"/>
    </row>
    <row r="166" spans="1:26" ht="15.75" customHeight="1" x14ac:dyDescent="0.2">
      <c r="A166" s="47"/>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7"/>
    </row>
    <row r="167" spans="1:26" ht="15.75" customHeight="1" x14ac:dyDescent="0.2">
      <c r="A167" s="47"/>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7"/>
    </row>
    <row r="168" spans="1:26" ht="15.75" customHeight="1" x14ac:dyDescent="0.2">
      <c r="A168" s="47"/>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7"/>
    </row>
    <row r="169" spans="1:26" ht="15.75" customHeight="1" x14ac:dyDescent="0.2">
      <c r="A169" s="47"/>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7"/>
    </row>
    <row r="170" spans="1:26" ht="15.75" customHeight="1" x14ac:dyDescent="0.2">
      <c r="A170" s="47"/>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7"/>
    </row>
    <row r="171" spans="1:26" ht="15.75" customHeight="1" x14ac:dyDescent="0.2">
      <c r="A171" s="47"/>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7"/>
    </row>
    <row r="172" spans="1:26" ht="15.75" customHeight="1" x14ac:dyDescent="0.2">
      <c r="A172" s="47"/>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7"/>
    </row>
    <row r="173" spans="1:26" ht="15.75" customHeight="1" x14ac:dyDescent="0.2">
      <c r="A173" s="47"/>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7"/>
    </row>
    <row r="174" spans="1:26" ht="15.75" customHeight="1" x14ac:dyDescent="0.2">
      <c r="A174" s="47"/>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7"/>
    </row>
    <row r="175" spans="1:26" ht="15.75" customHeight="1" x14ac:dyDescent="0.2">
      <c r="A175" s="47"/>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7"/>
    </row>
    <row r="176" spans="1:26" ht="15.75" customHeight="1" x14ac:dyDescent="0.2">
      <c r="A176" s="47"/>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7"/>
    </row>
    <row r="177" spans="1:26" ht="15.75" customHeight="1" x14ac:dyDescent="0.2">
      <c r="A177" s="47"/>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7"/>
    </row>
    <row r="178" spans="1:26" ht="15.75" customHeight="1" x14ac:dyDescent="0.2">
      <c r="A178" s="47"/>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7"/>
    </row>
    <row r="179" spans="1:26" ht="15.75" customHeight="1" x14ac:dyDescent="0.2">
      <c r="A179" s="47"/>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7"/>
    </row>
    <row r="180" spans="1:26" ht="15.75" customHeight="1" x14ac:dyDescent="0.2">
      <c r="A180" s="47"/>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7"/>
    </row>
    <row r="181" spans="1:26" ht="15.75" customHeight="1" x14ac:dyDescent="0.2">
      <c r="A181" s="47"/>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7"/>
    </row>
    <row r="182" spans="1:26" ht="15.75" customHeight="1" x14ac:dyDescent="0.2">
      <c r="A182" s="47"/>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7"/>
    </row>
    <row r="183" spans="1:26" ht="15.75" customHeight="1" x14ac:dyDescent="0.2">
      <c r="A183" s="47"/>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7"/>
    </row>
    <row r="184" spans="1:26" ht="15.75" customHeight="1" x14ac:dyDescent="0.2">
      <c r="A184" s="47"/>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7"/>
    </row>
    <row r="185" spans="1:26" ht="15.75" customHeight="1" x14ac:dyDescent="0.2">
      <c r="A185" s="47"/>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7"/>
    </row>
    <row r="186" spans="1:26" ht="15.75" customHeight="1" x14ac:dyDescent="0.2">
      <c r="A186" s="47"/>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7"/>
    </row>
    <row r="187" spans="1:26" ht="15.75" customHeight="1" x14ac:dyDescent="0.2">
      <c r="A187" s="47"/>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7"/>
    </row>
    <row r="188" spans="1:26" ht="15.75" customHeight="1" x14ac:dyDescent="0.2">
      <c r="A188" s="47"/>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7"/>
    </row>
    <row r="189" spans="1:26" ht="15.75" customHeight="1" x14ac:dyDescent="0.2">
      <c r="A189" s="47"/>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7"/>
    </row>
    <row r="190" spans="1:26" ht="15.75" customHeight="1" x14ac:dyDescent="0.2">
      <c r="A190" s="47"/>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7"/>
    </row>
    <row r="191" spans="1:26" ht="15.75" customHeight="1" x14ac:dyDescent="0.2">
      <c r="A191" s="47"/>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7"/>
    </row>
    <row r="192" spans="1:26" ht="15.75" customHeight="1" x14ac:dyDescent="0.2">
      <c r="A192" s="47"/>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7"/>
    </row>
    <row r="193" spans="1:26" ht="15.75" customHeight="1" x14ac:dyDescent="0.2">
      <c r="A193" s="47"/>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7"/>
    </row>
    <row r="194" spans="1:26" ht="15.75" customHeight="1" x14ac:dyDescent="0.2">
      <c r="A194" s="47"/>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7"/>
    </row>
    <row r="195" spans="1:26" ht="15.75" customHeight="1" x14ac:dyDescent="0.2">
      <c r="A195" s="47"/>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7"/>
    </row>
    <row r="196" spans="1:26" ht="15.75" customHeight="1" x14ac:dyDescent="0.2">
      <c r="A196" s="47"/>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7"/>
    </row>
    <row r="197" spans="1:26" ht="15.75" customHeight="1" x14ac:dyDescent="0.2">
      <c r="A197" s="47"/>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7"/>
    </row>
    <row r="198" spans="1:26" ht="15.75" customHeight="1" x14ac:dyDescent="0.2">
      <c r="A198" s="47"/>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7"/>
    </row>
    <row r="199" spans="1:26" ht="15.75" customHeight="1" x14ac:dyDescent="0.2">
      <c r="A199" s="47"/>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7"/>
    </row>
    <row r="200" spans="1:26" ht="15.75" customHeight="1" x14ac:dyDescent="0.2">
      <c r="A200" s="47"/>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7"/>
    </row>
    <row r="201" spans="1:26" ht="15.75" customHeight="1" x14ac:dyDescent="0.2">
      <c r="A201" s="47"/>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7"/>
    </row>
    <row r="202" spans="1:26" ht="15.75" customHeight="1" x14ac:dyDescent="0.2">
      <c r="A202" s="47"/>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7"/>
    </row>
    <row r="203" spans="1:26" ht="15.75" customHeight="1" x14ac:dyDescent="0.2">
      <c r="A203" s="47"/>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7"/>
    </row>
    <row r="204" spans="1:26" ht="15.75" customHeight="1" x14ac:dyDescent="0.2">
      <c r="A204" s="47"/>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7"/>
    </row>
    <row r="205" spans="1:26" ht="15.75" customHeight="1" x14ac:dyDescent="0.2">
      <c r="A205" s="47"/>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7"/>
    </row>
    <row r="206" spans="1:26" ht="15.75" customHeight="1" x14ac:dyDescent="0.2">
      <c r="A206" s="47"/>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7"/>
    </row>
    <row r="207" spans="1:26" ht="15.75" customHeight="1" x14ac:dyDescent="0.2">
      <c r="A207" s="47"/>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7"/>
    </row>
    <row r="208" spans="1:26" ht="15.75" customHeight="1" x14ac:dyDescent="0.2">
      <c r="A208" s="47"/>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7"/>
    </row>
    <row r="209" spans="1:26" ht="15.75" customHeight="1" x14ac:dyDescent="0.2">
      <c r="A209" s="47"/>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7"/>
    </row>
    <row r="210" spans="1:26" ht="15.75" customHeight="1" x14ac:dyDescent="0.2">
      <c r="A210" s="47"/>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7"/>
    </row>
    <row r="211" spans="1:26" ht="15.75" customHeight="1" x14ac:dyDescent="0.2">
      <c r="A211" s="47"/>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7"/>
    </row>
    <row r="212" spans="1:26" ht="15.75" customHeight="1" x14ac:dyDescent="0.2">
      <c r="A212" s="47"/>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7"/>
    </row>
    <row r="213" spans="1:26" ht="15.75" customHeight="1" x14ac:dyDescent="0.2">
      <c r="A213" s="47"/>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7"/>
    </row>
    <row r="214" spans="1:26" ht="15.75" customHeight="1" x14ac:dyDescent="0.2">
      <c r="A214" s="47"/>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7"/>
    </row>
    <row r="215" spans="1:26" ht="15.75" customHeight="1" x14ac:dyDescent="0.2">
      <c r="A215" s="47"/>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7"/>
    </row>
    <row r="216" spans="1:26" ht="15.75" customHeight="1" x14ac:dyDescent="0.2">
      <c r="A216" s="47"/>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7"/>
    </row>
    <row r="217" spans="1:26" ht="15.75" customHeight="1" x14ac:dyDescent="0.2">
      <c r="A217" s="47"/>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7"/>
    </row>
    <row r="218" spans="1:26" ht="15.75" customHeight="1" x14ac:dyDescent="0.2">
      <c r="A218" s="47"/>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7"/>
    </row>
    <row r="219" spans="1:26" ht="15.75" customHeight="1" x14ac:dyDescent="0.2">
      <c r="A219" s="47"/>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7"/>
    </row>
    <row r="220" spans="1:26" ht="15.75" customHeight="1" x14ac:dyDescent="0.2">
      <c r="A220" s="47"/>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7"/>
    </row>
    <row r="221" spans="1:26" ht="15.75" customHeight="1" x14ac:dyDescent="0.2">
      <c r="A221" s="47"/>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7"/>
    </row>
    <row r="222" spans="1:26" ht="15.75" customHeight="1" x14ac:dyDescent="0.2">
      <c r="A222" s="47"/>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7"/>
    </row>
    <row r="223" spans="1:26" ht="15.75" customHeight="1" x14ac:dyDescent="0.2">
      <c r="A223" s="47"/>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7"/>
    </row>
    <row r="224" spans="1:26" ht="15.75" customHeight="1" x14ac:dyDescent="0.2">
      <c r="A224" s="47"/>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7"/>
    </row>
    <row r="225" spans="1:26" ht="15.75" customHeight="1" x14ac:dyDescent="0.2">
      <c r="A225" s="47"/>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7"/>
    </row>
    <row r="226" spans="1:26" ht="15.75" customHeight="1" x14ac:dyDescent="0.2">
      <c r="A226" s="47"/>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7"/>
    </row>
    <row r="227" spans="1:26" ht="15.75" customHeight="1" x14ac:dyDescent="0.2">
      <c r="A227" s="47"/>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7"/>
    </row>
    <row r="228" spans="1:26" ht="15.75" customHeight="1" x14ac:dyDescent="0.2">
      <c r="A228" s="47"/>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7"/>
    </row>
    <row r="229" spans="1:26" ht="15.75" customHeight="1" x14ac:dyDescent="0.2">
      <c r="A229" s="47"/>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7"/>
    </row>
    <row r="230" spans="1:26" ht="15.75" customHeight="1" x14ac:dyDescent="0.2">
      <c r="A230" s="47"/>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7"/>
    </row>
    <row r="231" spans="1:26" ht="15.75" customHeight="1" x14ac:dyDescent="0.2">
      <c r="A231" s="47"/>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7"/>
    </row>
    <row r="232" spans="1:26" ht="15.75" customHeight="1" x14ac:dyDescent="0.2">
      <c r="A232" s="47"/>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7"/>
    </row>
    <row r="233" spans="1:26" ht="15.75" customHeight="1" x14ac:dyDescent="0.2">
      <c r="A233" s="47"/>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7"/>
    </row>
    <row r="234" spans="1:26" ht="15.75" customHeight="1" x14ac:dyDescent="0.2">
      <c r="A234" s="47"/>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7"/>
    </row>
    <row r="235" spans="1:26" ht="15.75" customHeight="1" x14ac:dyDescent="0.2">
      <c r="A235" s="47"/>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7"/>
    </row>
    <row r="236" spans="1:26" ht="15.75" customHeight="1" x14ac:dyDescent="0.2">
      <c r="A236" s="47"/>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7"/>
    </row>
    <row r="237" spans="1:26" ht="15.75" customHeight="1" x14ac:dyDescent="0.2">
      <c r="A237" s="47"/>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7"/>
    </row>
    <row r="238" spans="1:26" ht="15.75" customHeight="1" x14ac:dyDescent="0.2">
      <c r="A238" s="47"/>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7"/>
    </row>
    <row r="239" spans="1:26" ht="15.75" customHeight="1" x14ac:dyDescent="0.2">
      <c r="A239" s="47"/>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7"/>
    </row>
    <row r="240" spans="1:26" ht="15.75" customHeight="1" x14ac:dyDescent="0.2">
      <c r="A240" s="47"/>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7"/>
    </row>
    <row r="241" spans="1:26" ht="15.75" customHeight="1" x14ac:dyDescent="0.2">
      <c r="A241" s="47"/>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7"/>
    </row>
    <row r="242" spans="1:26" ht="15.75" customHeight="1" x14ac:dyDescent="0.2">
      <c r="A242" s="47"/>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7"/>
    </row>
    <row r="243" spans="1:26" ht="15.75" customHeight="1" x14ac:dyDescent="0.2">
      <c r="A243" s="47"/>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7"/>
    </row>
    <row r="244" spans="1:26" ht="15.75" customHeight="1" x14ac:dyDescent="0.2">
      <c r="A244" s="47"/>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7"/>
    </row>
    <row r="245" spans="1:26" ht="15.75" customHeight="1" x14ac:dyDescent="0.2">
      <c r="A245" s="47"/>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7"/>
    </row>
    <row r="246" spans="1:26" ht="15.75" customHeight="1" x14ac:dyDescent="0.2">
      <c r="A246" s="47"/>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7"/>
    </row>
    <row r="247" spans="1:26" ht="15.75" customHeight="1" x14ac:dyDescent="0.2">
      <c r="A247" s="47"/>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7"/>
    </row>
    <row r="248" spans="1:26" ht="15.75" customHeight="1" x14ac:dyDescent="0.2">
      <c r="A248" s="47"/>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7"/>
    </row>
    <row r="249" spans="1:26" ht="15.75" customHeight="1" x14ac:dyDescent="0.2">
      <c r="A249" s="47"/>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7"/>
    </row>
    <row r="250" spans="1:26" ht="15.75" customHeight="1" x14ac:dyDescent="0.2">
      <c r="A250" s="47"/>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7"/>
    </row>
    <row r="251" spans="1:26" ht="15.75" customHeight="1" x14ac:dyDescent="0.2">
      <c r="A251" s="47"/>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7"/>
    </row>
    <row r="252" spans="1:26" ht="15.75" customHeight="1" x14ac:dyDescent="0.2">
      <c r="A252" s="47"/>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7"/>
    </row>
    <row r="253" spans="1:26" ht="15.75" customHeight="1" x14ac:dyDescent="0.2">
      <c r="A253" s="47"/>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7"/>
    </row>
    <row r="254" spans="1:26" ht="15.75" customHeight="1" x14ac:dyDescent="0.2">
      <c r="A254" s="47"/>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7"/>
    </row>
    <row r="255" spans="1:26" ht="15.75" customHeight="1" x14ac:dyDescent="0.2">
      <c r="A255" s="47"/>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7"/>
    </row>
    <row r="256" spans="1:26" ht="15.75" customHeight="1" x14ac:dyDescent="0.2">
      <c r="A256" s="47"/>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7"/>
    </row>
    <row r="257" spans="1:26" ht="15.75" customHeight="1" x14ac:dyDescent="0.2">
      <c r="A257" s="47"/>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7"/>
    </row>
    <row r="258" spans="1:26" ht="15.75" customHeight="1" x14ac:dyDescent="0.2">
      <c r="A258" s="47"/>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7"/>
    </row>
    <row r="259" spans="1:26" ht="15.75" customHeight="1" x14ac:dyDescent="0.2">
      <c r="A259" s="47"/>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7"/>
    </row>
    <row r="260" spans="1:26" ht="15.75" customHeight="1" x14ac:dyDescent="0.2">
      <c r="A260" s="47"/>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7"/>
    </row>
    <row r="261" spans="1:26" ht="15.75" customHeight="1" x14ac:dyDescent="0.2">
      <c r="A261" s="47"/>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7"/>
    </row>
    <row r="262" spans="1:26" ht="15.75" customHeight="1" x14ac:dyDescent="0.2">
      <c r="A262" s="47"/>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7"/>
    </row>
    <row r="263" spans="1:26" ht="15.75" customHeight="1" x14ac:dyDescent="0.2">
      <c r="A263" s="47"/>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7"/>
    </row>
    <row r="264" spans="1:26" ht="15.75" customHeight="1" x14ac:dyDescent="0.2">
      <c r="A264" s="47"/>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7"/>
    </row>
    <row r="265" spans="1:26" ht="15.75" customHeight="1" x14ac:dyDescent="0.2">
      <c r="A265" s="47"/>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7"/>
    </row>
    <row r="266" spans="1:26" ht="15.75" customHeight="1" x14ac:dyDescent="0.2">
      <c r="A266" s="47"/>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7"/>
    </row>
    <row r="267" spans="1:26" ht="15.75" customHeight="1" x14ac:dyDescent="0.2">
      <c r="A267" s="47"/>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7"/>
    </row>
    <row r="268" spans="1:26" ht="15.75" customHeight="1" x14ac:dyDescent="0.2">
      <c r="A268" s="47"/>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7"/>
    </row>
    <row r="269" spans="1:26" ht="15.75" customHeight="1" x14ac:dyDescent="0.2">
      <c r="A269" s="47"/>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7"/>
    </row>
    <row r="270" spans="1:26" ht="15.75" customHeight="1" x14ac:dyDescent="0.2">
      <c r="A270" s="47"/>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7"/>
    </row>
    <row r="271" spans="1:26" ht="15.75" customHeight="1" x14ac:dyDescent="0.2">
      <c r="A271" s="47"/>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7"/>
    </row>
    <row r="272" spans="1:26" ht="15.75" customHeight="1" x14ac:dyDescent="0.2">
      <c r="A272" s="47"/>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7"/>
    </row>
    <row r="273" spans="1:26" ht="15.75" customHeight="1" x14ac:dyDescent="0.2">
      <c r="A273" s="47"/>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7"/>
    </row>
    <row r="274" spans="1:26" ht="15.75" customHeight="1" x14ac:dyDescent="0.2">
      <c r="A274" s="47"/>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7"/>
    </row>
    <row r="275" spans="1:26" ht="15.75" customHeight="1" x14ac:dyDescent="0.2">
      <c r="A275" s="47"/>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7"/>
    </row>
    <row r="276" spans="1:26" ht="15.75" customHeight="1" x14ac:dyDescent="0.2">
      <c r="A276" s="47"/>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7"/>
    </row>
    <row r="277" spans="1:26" ht="15.75" customHeight="1" x14ac:dyDescent="0.2">
      <c r="A277" s="47"/>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7"/>
    </row>
    <row r="278" spans="1:26" ht="15.75" customHeight="1" x14ac:dyDescent="0.2">
      <c r="A278" s="47"/>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7"/>
    </row>
    <row r="279" spans="1:26" ht="15.75" customHeight="1" x14ac:dyDescent="0.2">
      <c r="A279" s="47"/>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7"/>
    </row>
    <row r="280" spans="1:26" ht="15.75" customHeight="1" x14ac:dyDescent="0.2">
      <c r="A280" s="47"/>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7"/>
    </row>
    <row r="281" spans="1:26" ht="15.75" customHeight="1" x14ac:dyDescent="0.2">
      <c r="A281" s="47"/>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7"/>
    </row>
    <row r="282" spans="1:26" ht="15.75" customHeight="1" x14ac:dyDescent="0.2">
      <c r="A282" s="47"/>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7"/>
    </row>
    <row r="283" spans="1:26" ht="15.75" customHeight="1" x14ac:dyDescent="0.2">
      <c r="A283" s="47"/>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7"/>
    </row>
    <row r="284" spans="1:26" ht="15.75" customHeight="1" x14ac:dyDescent="0.2">
      <c r="A284" s="47"/>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7"/>
    </row>
    <row r="285" spans="1:26" ht="15.75" customHeight="1" x14ac:dyDescent="0.2">
      <c r="A285" s="47"/>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7"/>
    </row>
    <row r="286" spans="1:26" ht="15.75" customHeight="1" x14ac:dyDescent="0.2">
      <c r="A286" s="47"/>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7"/>
    </row>
    <row r="287" spans="1:26" ht="15.75" customHeight="1" x14ac:dyDescent="0.2">
      <c r="A287" s="47"/>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7"/>
    </row>
    <row r="288" spans="1:26" ht="15.75" customHeight="1" x14ac:dyDescent="0.2">
      <c r="A288" s="47"/>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7"/>
    </row>
    <row r="289" spans="1:26" ht="15.75" customHeight="1" x14ac:dyDescent="0.2">
      <c r="A289" s="47"/>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7"/>
    </row>
    <row r="290" spans="1:26" ht="15.75" customHeight="1" x14ac:dyDescent="0.2">
      <c r="A290" s="47"/>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7"/>
    </row>
    <row r="291" spans="1:26" ht="15.75" customHeight="1" x14ac:dyDescent="0.2">
      <c r="A291" s="47"/>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7"/>
    </row>
    <row r="292" spans="1:26" ht="15.75" customHeight="1" x14ac:dyDescent="0.2">
      <c r="A292" s="47"/>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7"/>
    </row>
    <row r="293" spans="1:26" ht="15.75" customHeight="1" x14ac:dyDescent="0.2">
      <c r="A293" s="47"/>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7"/>
    </row>
    <row r="294" spans="1:26" ht="15.75" customHeight="1" x14ac:dyDescent="0.2">
      <c r="A294" s="47"/>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7"/>
    </row>
    <row r="295" spans="1:26" ht="15.75" customHeight="1" x14ac:dyDescent="0.2">
      <c r="A295" s="47"/>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7"/>
    </row>
    <row r="296" spans="1:26" ht="15.75" customHeight="1" x14ac:dyDescent="0.2">
      <c r="A296" s="47"/>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7"/>
    </row>
    <row r="297" spans="1:26" ht="15.75" customHeight="1" x14ac:dyDescent="0.2">
      <c r="A297" s="47"/>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7"/>
    </row>
    <row r="298" spans="1:26" ht="15.75" customHeight="1" x14ac:dyDescent="0.2">
      <c r="A298" s="47"/>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7"/>
    </row>
    <row r="299" spans="1:26" ht="15.75" customHeight="1" x14ac:dyDescent="0.2">
      <c r="A299" s="47"/>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7"/>
    </row>
    <row r="300" spans="1:26" ht="15.75" customHeight="1" x14ac:dyDescent="0.2">
      <c r="A300" s="47"/>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7"/>
    </row>
    <row r="301" spans="1:26" ht="15.75" customHeight="1" x14ac:dyDescent="0.2">
      <c r="A301" s="47"/>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7"/>
    </row>
    <row r="302" spans="1:26" ht="15.75" customHeight="1" x14ac:dyDescent="0.2">
      <c r="A302" s="47"/>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7"/>
    </row>
    <row r="303" spans="1:26" ht="15.75" customHeight="1" x14ac:dyDescent="0.2">
      <c r="A303" s="47"/>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7"/>
    </row>
    <row r="304" spans="1:26" ht="15.75" customHeight="1" x14ac:dyDescent="0.2">
      <c r="A304" s="47"/>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7"/>
    </row>
    <row r="305" spans="1:26" ht="15.75" customHeight="1" x14ac:dyDescent="0.2">
      <c r="A305" s="47"/>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7"/>
    </row>
    <row r="306" spans="1:26" ht="15.75" customHeight="1" x14ac:dyDescent="0.2">
      <c r="A306" s="47"/>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7"/>
    </row>
    <row r="307" spans="1:26" ht="15.75" customHeight="1" x14ac:dyDescent="0.2">
      <c r="A307" s="47"/>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7"/>
    </row>
    <row r="308" spans="1:26" ht="15.75" customHeight="1" x14ac:dyDescent="0.2">
      <c r="A308" s="47"/>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7"/>
    </row>
    <row r="309" spans="1:26" ht="15.75" customHeight="1" x14ac:dyDescent="0.2">
      <c r="A309" s="47"/>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7"/>
    </row>
    <row r="310" spans="1:26" ht="15.75" customHeight="1" x14ac:dyDescent="0.2">
      <c r="A310" s="47"/>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7"/>
    </row>
    <row r="311" spans="1:26" ht="15.75" customHeight="1" x14ac:dyDescent="0.2">
      <c r="A311" s="47"/>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7"/>
    </row>
    <row r="312" spans="1:26" ht="15.75" customHeight="1" x14ac:dyDescent="0.2">
      <c r="A312" s="47"/>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7"/>
    </row>
    <row r="313" spans="1:26" ht="15.75" customHeight="1" x14ac:dyDescent="0.2">
      <c r="A313" s="47"/>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7"/>
    </row>
    <row r="314" spans="1:26" ht="15.75" customHeight="1" x14ac:dyDescent="0.2">
      <c r="A314" s="47"/>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7"/>
    </row>
    <row r="315" spans="1:26" ht="15.75" customHeight="1" x14ac:dyDescent="0.2">
      <c r="A315" s="47"/>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7"/>
    </row>
    <row r="316" spans="1:26" ht="15.75" customHeight="1" x14ac:dyDescent="0.2">
      <c r="A316" s="47"/>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7"/>
    </row>
    <row r="317" spans="1:26" ht="15.75" customHeight="1" x14ac:dyDescent="0.2">
      <c r="A317" s="47"/>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7"/>
    </row>
    <row r="318" spans="1:26" ht="15.75" customHeight="1" x14ac:dyDescent="0.2">
      <c r="A318" s="47"/>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7"/>
    </row>
    <row r="319" spans="1:26" ht="15.75" customHeight="1" x14ac:dyDescent="0.2">
      <c r="A319" s="47"/>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7"/>
    </row>
    <row r="320" spans="1:26" ht="15.75" customHeight="1" x14ac:dyDescent="0.2">
      <c r="A320" s="47"/>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7"/>
    </row>
    <row r="321" spans="1:26" ht="15.75" customHeight="1" x14ac:dyDescent="0.2">
      <c r="A321" s="47"/>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7"/>
    </row>
    <row r="322" spans="1:26" ht="15.75" customHeight="1" x14ac:dyDescent="0.2">
      <c r="A322" s="47"/>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7"/>
    </row>
    <row r="323" spans="1:26" ht="15.75" customHeight="1" x14ac:dyDescent="0.2">
      <c r="A323" s="47"/>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7"/>
    </row>
    <row r="324" spans="1:26" ht="15.75" customHeight="1" x14ac:dyDescent="0.2">
      <c r="A324" s="47"/>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7"/>
    </row>
    <row r="325" spans="1:26" ht="15.75" customHeight="1" x14ac:dyDescent="0.2">
      <c r="A325" s="47"/>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7"/>
    </row>
    <row r="326" spans="1:26" ht="15.75" customHeight="1" x14ac:dyDescent="0.2">
      <c r="A326" s="47"/>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7"/>
    </row>
    <row r="327" spans="1:26" ht="15.75" customHeight="1" x14ac:dyDescent="0.2">
      <c r="A327" s="47"/>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7"/>
    </row>
    <row r="328" spans="1:26" ht="15.75" customHeight="1" x14ac:dyDescent="0.2">
      <c r="A328" s="47"/>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7"/>
    </row>
    <row r="329" spans="1:26" ht="15.75" customHeight="1" x14ac:dyDescent="0.2">
      <c r="A329" s="47"/>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7"/>
    </row>
    <row r="330" spans="1:26" ht="15.75" customHeight="1" x14ac:dyDescent="0.2">
      <c r="A330" s="47"/>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7"/>
    </row>
    <row r="331" spans="1:26" ht="15.75" customHeight="1" x14ac:dyDescent="0.2">
      <c r="A331" s="47"/>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7"/>
    </row>
    <row r="332" spans="1:26" ht="15.75" customHeight="1" x14ac:dyDescent="0.2">
      <c r="A332" s="47"/>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7"/>
    </row>
    <row r="333" spans="1:26" ht="15.75" customHeight="1" x14ac:dyDescent="0.2">
      <c r="A333" s="47"/>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7"/>
    </row>
    <row r="334" spans="1:26" ht="15.75" customHeight="1" x14ac:dyDescent="0.2">
      <c r="A334" s="47"/>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7"/>
    </row>
    <row r="335" spans="1:26" ht="15.75" customHeight="1" x14ac:dyDescent="0.2">
      <c r="A335" s="47"/>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7"/>
    </row>
    <row r="336" spans="1:26" ht="15.75" customHeight="1" x14ac:dyDescent="0.2">
      <c r="A336" s="47"/>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7"/>
    </row>
    <row r="337" spans="1:26" ht="15.75" customHeight="1" x14ac:dyDescent="0.2">
      <c r="A337" s="47"/>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7"/>
    </row>
    <row r="338" spans="1:26" ht="15.75" customHeight="1" x14ac:dyDescent="0.2">
      <c r="A338" s="47"/>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7"/>
    </row>
    <row r="339" spans="1:26" ht="15.75" customHeight="1" x14ac:dyDescent="0.2">
      <c r="A339" s="47"/>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7"/>
    </row>
    <row r="340" spans="1:26" ht="15.75" customHeight="1" x14ac:dyDescent="0.2">
      <c r="A340" s="47"/>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7"/>
    </row>
    <row r="341" spans="1:26" ht="15.75" customHeight="1" x14ac:dyDescent="0.2">
      <c r="A341" s="47"/>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7"/>
    </row>
    <row r="342" spans="1:26" ht="15.75" customHeight="1" x14ac:dyDescent="0.2">
      <c r="A342" s="47"/>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7"/>
    </row>
    <row r="343" spans="1:26" ht="15.75" customHeight="1" x14ac:dyDescent="0.2">
      <c r="A343" s="47"/>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7"/>
    </row>
    <row r="344" spans="1:26" ht="15.75" customHeight="1" x14ac:dyDescent="0.2">
      <c r="A344" s="47"/>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7"/>
    </row>
    <row r="345" spans="1:26" ht="15.75" customHeight="1" x14ac:dyDescent="0.2">
      <c r="A345" s="47"/>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7"/>
    </row>
    <row r="346" spans="1:26" ht="15.75" customHeight="1" x14ac:dyDescent="0.2">
      <c r="A346" s="47"/>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7"/>
    </row>
    <row r="347" spans="1:26" ht="15.75" customHeight="1" x14ac:dyDescent="0.2">
      <c r="A347" s="47"/>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7"/>
    </row>
    <row r="348" spans="1:26" ht="15.75" customHeight="1" x14ac:dyDescent="0.2">
      <c r="A348" s="47"/>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7"/>
    </row>
    <row r="349" spans="1:26" ht="15.75" customHeight="1" x14ac:dyDescent="0.2">
      <c r="A349" s="47"/>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7"/>
    </row>
    <row r="350" spans="1:26" ht="15.75" customHeight="1" x14ac:dyDescent="0.2">
      <c r="A350" s="47"/>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7"/>
    </row>
    <row r="351" spans="1:26" ht="15.75" customHeight="1" x14ac:dyDescent="0.2">
      <c r="A351" s="47"/>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7"/>
    </row>
    <row r="352" spans="1:26" ht="15.75" customHeight="1" x14ac:dyDescent="0.2">
      <c r="A352" s="47"/>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7"/>
    </row>
    <row r="353" spans="1:26" ht="15.75" customHeight="1" x14ac:dyDescent="0.2">
      <c r="A353" s="47"/>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7"/>
    </row>
    <row r="354" spans="1:26" ht="15.75" customHeight="1" x14ac:dyDescent="0.2">
      <c r="A354" s="47"/>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7"/>
    </row>
    <row r="355" spans="1:26" ht="15.75" customHeight="1" x14ac:dyDescent="0.2">
      <c r="A355" s="47"/>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7"/>
    </row>
    <row r="356" spans="1:26" ht="15.75" customHeight="1" x14ac:dyDescent="0.2">
      <c r="A356" s="47"/>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7"/>
    </row>
    <row r="357" spans="1:26" ht="15.75" customHeight="1" x14ac:dyDescent="0.2">
      <c r="A357" s="47"/>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7"/>
    </row>
    <row r="358" spans="1:26" ht="15.75" customHeight="1" x14ac:dyDescent="0.2">
      <c r="A358" s="47"/>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7"/>
    </row>
    <row r="359" spans="1:26" ht="15.75" customHeight="1" x14ac:dyDescent="0.2">
      <c r="A359" s="47"/>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7"/>
    </row>
    <row r="360" spans="1:26" ht="15.75" customHeight="1" x14ac:dyDescent="0.2">
      <c r="A360" s="47"/>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7"/>
    </row>
    <row r="361" spans="1:26" ht="15.75" customHeight="1" x14ac:dyDescent="0.2">
      <c r="A361" s="47"/>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7"/>
    </row>
    <row r="362" spans="1:26" ht="15.75" customHeight="1" x14ac:dyDescent="0.2">
      <c r="A362" s="47"/>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7"/>
    </row>
    <row r="363" spans="1:26" ht="15.75" customHeight="1" x14ac:dyDescent="0.2">
      <c r="A363" s="47"/>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7"/>
    </row>
    <row r="364" spans="1:26" ht="15.75" customHeight="1" x14ac:dyDescent="0.2">
      <c r="A364" s="47"/>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7"/>
    </row>
    <row r="365" spans="1:26" ht="15.75" customHeight="1" x14ac:dyDescent="0.2">
      <c r="A365" s="47"/>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7"/>
    </row>
    <row r="366" spans="1:26" ht="15.75" customHeight="1" x14ac:dyDescent="0.2">
      <c r="A366" s="47"/>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7"/>
    </row>
    <row r="367" spans="1:26" ht="15.75" customHeight="1" x14ac:dyDescent="0.2">
      <c r="A367" s="47"/>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7"/>
    </row>
    <row r="368" spans="1:26" ht="15.75" customHeight="1" x14ac:dyDescent="0.2">
      <c r="A368" s="47"/>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7"/>
    </row>
    <row r="369" spans="1:26" ht="15.75" customHeight="1" x14ac:dyDescent="0.2">
      <c r="A369" s="47"/>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7"/>
    </row>
    <row r="370" spans="1:26" ht="15.75" customHeight="1" x14ac:dyDescent="0.2">
      <c r="A370" s="47"/>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7"/>
    </row>
    <row r="371" spans="1:26" ht="15.75" customHeight="1" x14ac:dyDescent="0.2">
      <c r="A371" s="47"/>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7"/>
    </row>
    <row r="372" spans="1:26" ht="15.75" customHeight="1" x14ac:dyDescent="0.2">
      <c r="A372" s="47"/>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7"/>
    </row>
    <row r="373" spans="1:26" ht="15.75" customHeight="1" x14ac:dyDescent="0.2">
      <c r="A373" s="47"/>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7"/>
    </row>
    <row r="374" spans="1:26" ht="15.75" customHeight="1" x14ac:dyDescent="0.2">
      <c r="A374" s="47"/>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7"/>
    </row>
    <row r="375" spans="1:26" ht="15.75" customHeight="1" x14ac:dyDescent="0.2">
      <c r="A375" s="47"/>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7"/>
    </row>
    <row r="376" spans="1:26" ht="15.75" customHeight="1" x14ac:dyDescent="0.2">
      <c r="A376" s="47"/>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7"/>
    </row>
    <row r="377" spans="1:26" ht="15.75" customHeight="1" x14ac:dyDescent="0.2">
      <c r="A377" s="47"/>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7"/>
    </row>
    <row r="378" spans="1:26" ht="15.75" customHeight="1" x14ac:dyDescent="0.2">
      <c r="A378" s="47"/>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7"/>
    </row>
    <row r="379" spans="1:26" ht="15.75" customHeight="1" x14ac:dyDescent="0.2">
      <c r="A379" s="47"/>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7"/>
    </row>
    <row r="380" spans="1:26" ht="15.75" customHeight="1" x14ac:dyDescent="0.2">
      <c r="A380" s="47"/>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7"/>
    </row>
    <row r="381" spans="1:26" ht="15.75" customHeight="1" x14ac:dyDescent="0.2">
      <c r="A381" s="47"/>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7"/>
    </row>
    <row r="382" spans="1:26" ht="15.75" customHeight="1" x14ac:dyDescent="0.2">
      <c r="A382" s="47"/>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7"/>
    </row>
    <row r="383" spans="1:26" ht="15.75" customHeight="1" x14ac:dyDescent="0.2">
      <c r="A383" s="47"/>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7"/>
    </row>
    <row r="384" spans="1:26" ht="15.75" customHeight="1" x14ac:dyDescent="0.2">
      <c r="A384" s="47"/>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7"/>
    </row>
    <row r="385" spans="1:26" ht="15.75" customHeight="1" x14ac:dyDescent="0.2">
      <c r="A385" s="47"/>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7"/>
    </row>
    <row r="386" spans="1:26" ht="15.75" customHeight="1" x14ac:dyDescent="0.2">
      <c r="A386" s="47"/>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7"/>
    </row>
    <row r="387" spans="1:26" ht="15.75" customHeight="1" x14ac:dyDescent="0.2">
      <c r="A387" s="47"/>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7"/>
    </row>
    <row r="388" spans="1:26" ht="15.75" customHeight="1" x14ac:dyDescent="0.2">
      <c r="A388" s="47"/>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7"/>
    </row>
    <row r="389" spans="1:26" ht="15.75" customHeight="1" x14ac:dyDescent="0.2">
      <c r="A389" s="47"/>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7"/>
    </row>
    <row r="390" spans="1:26" ht="15.75" customHeight="1" x14ac:dyDescent="0.2">
      <c r="A390" s="47"/>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7"/>
    </row>
    <row r="391" spans="1:26" ht="15.75" customHeight="1" x14ac:dyDescent="0.2">
      <c r="A391" s="47"/>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7"/>
    </row>
    <row r="392" spans="1:26" ht="15.75" customHeight="1" x14ac:dyDescent="0.2">
      <c r="A392" s="47"/>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7"/>
    </row>
    <row r="393" spans="1:26" ht="15.75" customHeight="1" x14ac:dyDescent="0.2">
      <c r="A393" s="47"/>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7"/>
    </row>
    <row r="394" spans="1:26" ht="15.75" customHeight="1" x14ac:dyDescent="0.2">
      <c r="A394" s="47"/>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7"/>
    </row>
    <row r="395" spans="1:26" ht="15.75" customHeight="1" x14ac:dyDescent="0.2">
      <c r="A395" s="47"/>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7"/>
    </row>
    <row r="396" spans="1:26" ht="15.75" customHeight="1" x14ac:dyDescent="0.2">
      <c r="A396" s="47"/>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7"/>
    </row>
    <row r="397" spans="1:26" ht="15.75" customHeight="1" x14ac:dyDescent="0.2">
      <c r="A397" s="47"/>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7"/>
    </row>
    <row r="398" spans="1:26" ht="15.75" customHeight="1" x14ac:dyDescent="0.2">
      <c r="A398" s="47"/>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7"/>
    </row>
    <row r="399" spans="1:26" ht="15.75" customHeight="1" x14ac:dyDescent="0.2">
      <c r="A399" s="47"/>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7"/>
    </row>
    <row r="400" spans="1:26" ht="15.75" customHeight="1" x14ac:dyDescent="0.2">
      <c r="A400" s="47"/>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7"/>
    </row>
    <row r="401" spans="1:26" ht="15.75" customHeight="1" x14ac:dyDescent="0.2">
      <c r="A401" s="47"/>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7"/>
    </row>
    <row r="402" spans="1:26" ht="15.75" customHeight="1" x14ac:dyDescent="0.2">
      <c r="A402" s="47"/>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7"/>
    </row>
    <row r="403" spans="1:26" ht="15.75" customHeight="1" x14ac:dyDescent="0.2">
      <c r="A403" s="47"/>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7"/>
    </row>
    <row r="404" spans="1:26" ht="15.75" customHeight="1" x14ac:dyDescent="0.2">
      <c r="A404" s="47"/>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7"/>
    </row>
    <row r="405" spans="1:26" ht="15.75" customHeight="1" x14ac:dyDescent="0.2">
      <c r="A405" s="47"/>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7"/>
    </row>
    <row r="406" spans="1:26" ht="15.75" customHeight="1" x14ac:dyDescent="0.2">
      <c r="A406" s="47"/>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7"/>
    </row>
    <row r="407" spans="1:26" ht="15.75" customHeight="1" x14ac:dyDescent="0.2">
      <c r="A407" s="47"/>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7"/>
    </row>
    <row r="408" spans="1:26" ht="15.75" customHeight="1" x14ac:dyDescent="0.2">
      <c r="A408" s="47"/>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7"/>
    </row>
    <row r="409" spans="1:26" ht="15.75" customHeight="1" x14ac:dyDescent="0.2">
      <c r="A409" s="47"/>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7"/>
    </row>
    <row r="410" spans="1:26" ht="15.75" customHeight="1" x14ac:dyDescent="0.2">
      <c r="A410" s="47"/>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7"/>
    </row>
    <row r="411" spans="1:26" ht="15.75" customHeight="1" x14ac:dyDescent="0.2">
      <c r="A411" s="47"/>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7"/>
    </row>
    <row r="412" spans="1:26" ht="15.75" customHeight="1" x14ac:dyDescent="0.2">
      <c r="A412" s="47"/>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7"/>
    </row>
    <row r="413" spans="1:26" ht="15.75" customHeight="1" x14ac:dyDescent="0.2">
      <c r="A413" s="47"/>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7"/>
    </row>
    <row r="414" spans="1:26" ht="15.75" customHeight="1" x14ac:dyDescent="0.2">
      <c r="A414" s="47"/>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7"/>
    </row>
    <row r="415" spans="1:26" ht="15.75" customHeight="1" x14ac:dyDescent="0.2">
      <c r="A415" s="47"/>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7"/>
    </row>
    <row r="416" spans="1:26" ht="15.75" customHeight="1" x14ac:dyDescent="0.2">
      <c r="A416" s="47"/>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7"/>
    </row>
    <row r="417" spans="1:26" ht="15.75" customHeight="1" x14ac:dyDescent="0.2">
      <c r="A417" s="47"/>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7"/>
    </row>
    <row r="418" spans="1:26" ht="15.75" customHeight="1" x14ac:dyDescent="0.2">
      <c r="A418" s="47"/>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7"/>
    </row>
    <row r="419" spans="1:26" ht="15.75" customHeight="1" x14ac:dyDescent="0.2">
      <c r="A419" s="47"/>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7"/>
    </row>
    <row r="420" spans="1:26" ht="15.75" customHeight="1" x14ac:dyDescent="0.2">
      <c r="A420" s="47"/>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7"/>
    </row>
    <row r="421" spans="1:26" ht="15.75" customHeight="1" x14ac:dyDescent="0.2">
      <c r="A421" s="47"/>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7"/>
    </row>
    <row r="422" spans="1:26" ht="15.75" customHeight="1" x14ac:dyDescent="0.2">
      <c r="A422" s="47"/>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7"/>
    </row>
    <row r="423" spans="1:26" ht="15.75" customHeight="1" x14ac:dyDescent="0.2">
      <c r="A423" s="47"/>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7"/>
    </row>
    <row r="424" spans="1:26" ht="15.75" customHeight="1" x14ac:dyDescent="0.2">
      <c r="A424" s="47"/>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7"/>
    </row>
    <row r="425" spans="1:26" ht="15.75" customHeight="1" x14ac:dyDescent="0.2">
      <c r="A425" s="47"/>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7"/>
    </row>
    <row r="426" spans="1:26" ht="15.75" customHeight="1" x14ac:dyDescent="0.2">
      <c r="A426" s="47"/>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7"/>
    </row>
    <row r="427" spans="1:26" ht="15.75" customHeight="1" x14ac:dyDescent="0.2">
      <c r="A427" s="47"/>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7"/>
    </row>
    <row r="428" spans="1:26" ht="15.75" customHeight="1" x14ac:dyDescent="0.2">
      <c r="A428" s="47"/>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7"/>
    </row>
    <row r="429" spans="1:26" ht="15.75" customHeight="1" x14ac:dyDescent="0.2">
      <c r="A429" s="47"/>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7"/>
    </row>
    <row r="430" spans="1:26" ht="15.75" customHeight="1" x14ac:dyDescent="0.2">
      <c r="A430" s="47"/>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7"/>
    </row>
    <row r="431" spans="1:26" ht="15.75" customHeight="1" x14ac:dyDescent="0.2">
      <c r="A431" s="47"/>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7"/>
    </row>
    <row r="432" spans="1:26" ht="15.75" customHeight="1" x14ac:dyDescent="0.2">
      <c r="A432" s="47"/>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7"/>
    </row>
    <row r="433" spans="1:26" ht="15.75" customHeight="1" x14ac:dyDescent="0.2">
      <c r="A433" s="47"/>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7"/>
    </row>
    <row r="434" spans="1:26" ht="15.75" customHeight="1" x14ac:dyDescent="0.2">
      <c r="A434" s="47"/>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7"/>
    </row>
    <row r="435" spans="1:26" ht="15.75" customHeight="1" x14ac:dyDescent="0.2">
      <c r="A435" s="47"/>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7"/>
    </row>
    <row r="436" spans="1:26" ht="15.75" customHeight="1" x14ac:dyDescent="0.2">
      <c r="A436" s="47"/>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7"/>
    </row>
    <row r="437" spans="1:26" ht="15.75" customHeight="1" x14ac:dyDescent="0.2">
      <c r="A437" s="47"/>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7"/>
    </row>
    <row r="438" spans="1:26" ht="15.75" customHeight="1" x14ac:dyDescent="0.2">
      <c r="A438" s="47"/>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7"/>
    </row>
    <row r="439" spans="1:26" ht="15.75" customHeight="1" x14ac:dyDescent="0.2">
      <c r="A439" s="47"/>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7"/>
    </row>
    <row r="440" spans="1:26" ht="15.75" customHeight="1" x14ac:dyDescent="0.2">
      <c r="A440" s="47"/>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7"/>
    </row>
    <row r="441" spans="1:26" ht="15.75" customHeight="1" x14ac:dyDescent="0.2">
      <c r="A441" s="47"/>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7"/>
    </row>
    <row r="442" spans="1:26" ht="15.75" customHeight="1" x14ac:dyDescent="0.2">
      <c r="A442" s="47"/>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7"/>
    </row>
    <row r="443" spans="1:26" ht="15.75" customHeight="1" x14ac:dyDescent="0.2">
      <c r="A443" s="47"/>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7"/>
    </row>
    <row r="444" spans="1:26" ht="15.75" customHeight="1" x14ac:dyDescent="0.2">
      <c r="A444" s="47"/>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7"/>
    </row>
    <row r="445" spans="1:26" ht="15.75" customHeight="1" x14ac:dyDescent="0.2">
      <c r="A445" s="47"/>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7"/>
    </row>
    <row r="446" spans="1:26" ht="15.75" customHeight="1" x14ac:dyDescent="0.2">
      <c r="A446" s="47"/>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7"/>
    </row>
    <row r="447" spans="1:26" ht="15.75" customHeight="1" x14ac:dyDescent="0.2">
      <c r="A447" s="47"/>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7"/>
    </row>
    <row r="448" spans="1:26" ht="15.75" customHeight="1" x14ac:dyDescent="0.2">
      <c r="A448" s="47"/>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7"/>
    </row>
    <row r="449" spans="1:26" ht="15.75" customHeight="1" x14ac:dyDescent="0.2">
      <c r="A449" s="47"/>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7"/>
    </row>
    <row r="450" spans="1:26" ht="15.75" customHeight="1" x14ac:dyDescent="0.2">
      <c r="A450" s="47"/>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7"/>
    </row>
    <row r="451" spans="1:26" ht="15.75" customHeight="1" x14ac:dyDescent="0.2">
      <c r="A451" s="47"/>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7"/>
    </row>
    <row r="452" spans="1:26" ht="15.75" customHeight="1" x14ac:dyDescent="0.2">
      <c r="A452" s="47"/>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7"/>
    </row>
    <row r="453" spans="1:26" ht="15.75" customHeight="1" x14ac:dyDescent="0.2">
      <c r="A453" s="47"/>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7"/>
    </row>
    <row r="454" spans="1:26" ht="15.75" customHeight="1" x14ac:dyDescent="0.2">
      <c r="A454" s="47"/>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7"/>
    </row>
    <row r="455" spans="1:26" ht="15.75" customHeight="1" x14ac:dyDescent="0.2">
      <c r="A455" s="47"/>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7"/>
    </row>
    <row r="456" spans="1:26" ht="15.75" customHeight="1" x14ac:dyDescent="0.2">
      <c r="A456" s="47"/>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7"/>
    </row>
    <row r="457" spans="1:26" ht="15.75" customHeight="1" x14ac:dyDescent="0.2">
      <c r="A457" s="47"/>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7"/>
    </row>
    <row r="458" spans="1:26" ht="15.75" customHeight="1" x14ac:dyDescent="0.2">
      <c r="A458" s="47"/>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7"/>
    </row>
    <row r="459" spans="1:26" ht="15.75" customHeight="1" x14ac:dyDescent="0.2">
      <c r="A459" s="47"/>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7"/>
    </row>
    <row r="460" spans="1:26" ht="15.75" customHeight="1" x14ac:dyDescent="0.2">
      <c r="A460" s="47"/>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7"/>
    </row>
    <row r="461" spans="1:26" ht="15.75" customHeight="1" x14ac:dyDescent="0.2">
      <c r="A461" s="47"/>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7"/>
    </row>
    <row r="462" spans="1:26" ht="15.75" customHeight="1" x14ac:dyDescent="0.2">
      <c r="A462" s="47"/>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7"/>
    </row>
    <row r="463" spans="1:26" ht="15.75" customHeight="1" x14ac:dyDescent="0.2">
      <c r="A463" s="47"/>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7"/>
    </row>
    <row r="464" spans="1:26" ht="15.75" customHeight="1" x14ac:dyDescent="0.2">
      <c r="A464" s="47"/>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7"/>
    </row>
    <row r="465" spans="1:26" ht="15.75" customHeight="1" x14ac:dyDescent="0.2">
      <c r="A465" s="47"/>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7"/>
    </row>
    <row r="466" spans="1:26" ht="15.75" customHeight="1" x14ac:dyDescent="0.2">
      <c r="A466" s="47"/>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7"/>
    </row>
    <row r="467" spans="1:26" ht="15.75" customHeight="1" x14ac:dyDescent="0.2">
      <c r="A467" s="47"/>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7"/>
    </row>
    <row r="468" spans="1:26" ht="15.75" customHeight="1" x14ac:dyDescent="0.2">
      <c r="A468" s="47"/>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7"/>
    </row>
    <row r="469" spans="1:26" ht="15.75" customHeight="1" x14ac:dyDescent="0.2">
      <c r="A469" s="47"/>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7"/>
    </row>
    <row r="470" spans="1:26" ht="15.75" customHeight="1" x14ac:dyDescent="0.2">
      <c r="A470" s="47"/>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7"/>
    </row>
    <row r="471" spans="1:26" ht="15.75" customHeight="1" x14ac:dyDescent="0.2">
      <c r="A471" s="47"/>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7"/>
    </row>
    <row r="472" spans="1:26" ht="15.75" customHeight="1" x14ac:dyDescent="0.2">
      <c r="A472" s="47"/>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7"/>
    </row>
    <row r="473" spans="1:26" ht="15.75" customHeight="1" x14ac:dyDescent="0.2">
      <c r="A473" s="47"/>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7"/>
    </row>
    <row r="474" spans="1:26" ht="15.75" customHeight="1" x14ac:dyDescent="0.2">
      <c r="A474" s="47"/>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7"/>
    </row>
    <row r="475" spans="1:26" ht="15.75" customHeight="1" x14ac:dyDescent="0.2">
      <c r="A475" s="47"/>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7"/>
    </row>
    <row r="476" spans="1:26" ht="15.75" customHeight="1" x14ac:dyDescent="0.2">
      <c r="A476" s="47"/>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7"/>
    </row>
    <row r="477" spans="1:26" ht="15.75" customHeight="1" x14ac:dyDescent="0.2">
      <c r="A477" s="47"/>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7"/>
    </row>
    <row r="478" spans="1:26" ht="15.75" customHeight="1" x14ac:dyDescent="0.2">
      <c r="A478" s="47"/>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7"/>
    </row>
    <row r="479" spans="1:26" ht="15.75" customHeight="1" x14ac:dyDescent="0.2">
      <c r="A479" s="47"/>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7"/>
    </row>
    <row r="480" spans="1:26" ht="15.75" customHeight="1" x14ac:dyDescent="0.2">
      <c r="A480" s="47"/>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7"/>
    </row>
    <row r="481" spans="1:26" ht="15.75" customHeight="1" x14ac:dyDescent="0.2">
      <c r="A481" s="47"/>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7"/>
    </row>
    <row r="482" spans="1:26" ht="15.75" customHeight="1" x14ac:dyDescent="0.2">
      <c r="A482" s="47"/>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7"/>
    </row>
    <row r="483" spans="1:26" ht="15.75" customHeight="1" x14ac:dyDescent="0.2">
      <c r="A483" s="47"/>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7"/>
    </row>
    <row r="484" spans="1:26" ht="15.75" customHeight="1" x14ac:dyDescent="0.2">
      <c r="A484" s="47"/>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7"/>
    </row>
    <row r="485" spans="1:26" ht="15.75" customHeight="1" x14ac:dyDescent="0.2">
      <c r="A485" s="47"/>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7"/>
    </row>
    <row r="486" spans="1:26" ht="15.75" customHeight="1" x14ac:dyDescent="0.2">
      <c r="A486" s="47"/>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7"/>
    </row>
    <row r="487" spans="1:26" ht="15.75" customHeight="1" x14ac:dyDescent="0.2">
      <c r="A487" s="47"/>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7"/>
    </row>
    <row r="488" spans="1:26" ht="15.75" customHeight="1" x14ac:dyDescent="0.2">
      <c r="A488" s="47"/>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7"/>
    </row>
    <row r="489" spans="1:26" ht="15.75" customHeight="1" x14ac:dyDescent="0.2">
      <c r="A489" s="47"/>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7"/>
    </row>
    <row r="490" spans="1:26" ht="15.75" customHeight="1" x14ac:dyDescent="0.2">
      <c r="A490" s="47"/>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7"/>
    </row>
    <row r="491" spans="1:26" ht="15.75" customHeight="1" x14ac:dyDescent="0.2">
      <c r="A491" s="47"/>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7"/>
    </row>
    <row r="492" spans="1:26" ht="15.75" customHeight="1" x14ac:dyDescent="0.2">
      <c r="A492" s="47"/>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7"/>
    </row>
    <row r="493" spans="1:26" ht="15.75" customHeight="1" x14ac:dyDescent="0.2">
      <c r="A493" s="47"/>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7"/>
    </row>
    <row r="494" spans="1:26" ht="15.75" customHeight="1" x14ac:dyDescent="0.2">
      <c r="A494" s="47"/>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7"/>
    </row>
    <row r="495" spans="1:26" ht="15.75" customHeight="1" x14ac:dyDescent="0.2">
      <c r="A495" s="47"/>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7"/>
    </row>
    <row r="496" spans="1:26" ht="15.75" customHeight="1" x14ac:dyDescent="0.2">
      <c r="A496" s="47"/>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7"/>
    </row>
    <row r="497" spans="1:26" ht="15.75" customHeight="1" x14ac:dyDescent="0.2">
      <c r="A497" s="47"/>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7"/>
    </row>
    <row r="498" spans="1:26" ht="15.75" customHeight="1" x14ac:dyDescent="0.2">
      <c r="A498" s="47"/>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7"/>
    </row>
    <row r="499" spans="1:26" ht="15.75" customHeight="1" x14ac:dyDescent="0.2">
      <c r="A499" s="47"/>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7"/>
    </row>
    <row r="500" spans="1:26" ht="15.75" customHeight="1" x14ac:dyDescent="0.2">
      <c r="A500" s="47"/>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7"/>
    </row>
    <row r="501" spans="1:26" ht="15.75" customHeight="1" x14ac:dyDescent="0.2">
      <c r="A501" s="47"/>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7"/>
    </row>
    <row r="502" spans="1:26" ht="15.75" customHeight="1" x14ac:dyDescent="0.2">
      <c r="A502" s="47"/>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7"/>
    </row>
    <row r="503" spans="1:26" ht="15.75" customHeight="1" x14ac:dyDescent="0.2">
      <c r="A503" s="47"/>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7"/>
    </row>
    <row r="504" spans="1:26" ht="15.75" customHeight="1" x14ac:dyDescent="0.2">
      <c r="A504" s="47"/>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7"/>
    </row>
    <row r="505" spans="1:26" ht="15.75" customHeight="1" x14ac:dyDescent="0.2">
      <c r="A505" s="47"/>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7"/>
    </row>
    <row r="506" spans="1:26" ht="15.75" customHeight="1" x14ac:dyDescent="0.2">
      <c r="A506" s="47"/>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7"/>
    </row>
    <row r="507" spans="1:26" ht="15.75" customHeight="1" x14ac:dyDescent="0.2">
      <c r="A507" s="47"/>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7"/>
    </row>
    <row r="508" spans="1:26" ht="15.75" customHeight="1" x14ac:dyDescent="0.2">
      <c r="A508" s="47"/>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7"/>
    </row>
    <row r="509" spans="1:26" ht="15.75" customHeight="1" x14ac:dyDescent="0.2">
      <c r="A509" s="47"/>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7"/>
    </row>
    <row r="510" spans="1:26" ht="15.75" customHeight="1" x14ac:dyDescent="0.2">
      <c r="A510" s="47"/>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7"/>
    </row>
    <row r="511" spans="1:26" ht="15.75" customHeight="1" x14ac:dyDescent="0.2">
      <c r="A511" s="47"/>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7"/>
    </row>
    <row r="512" spans="1:26" ht="15.75" customHeight="1" x14ac:dyDescent="0.2">
      <c r="A512" s="47"/>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7"/>
    </row>
    <row r="513" spans="1:26" ht="15.75" customHeight="1" x14ac:dyDescent="0.2">
      <c r="A513" s="47"/>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7"/>
    </row>
    <row r="514" spans="1:26" ht="15.75" customHeight="1" x14ac:dyDescent="0.2">
      <c r="A514" s="47"/>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7"/>
    </row>
    <row r="515" spans="1:26" ht="15.75" customHeight="1" x14ac:dyDescent="0.2">
      <c r="A515" s="47"/>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7"/>
    </row>
    <row r="516" spans="1:26" ht="15.75" customHeight="1" x14ac:dyDescent="0.2">
      <c r="A516" s="47"/>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7"/>
    </row>
    <row r="517" spans="1:26" ht="15.75" customHeight="1" x14ac:dyDescent="0.2">
      <c r="A517" s="47"/>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7"/>
    </row>
    <row r="518" spans="1:26" ht="15.75" customHeight="1" x14ac:dyDescent="0.2">
      <c r="A518" s="47"/>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7"/>
    </row>
    <row r="519" spans="1:26" ht="15.75" customHeight="1" x14ac:dyDescent="0.2">
      <c r="A519" s="47"/>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7"/>
    </row>
    <row r="520" spans="1:26" ht="15.75" customHeight="1" x14ac:dyDescent="0.2">
      <c r="A520" s="47"/>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7"/>
    </row>
    <row r="521" spans="1:26" ht="15.75" customHeight="1" x14ac:dyDescent="0.2">
      <c r="A521" s="47"/>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7"/>
    </row>
    <row r="522" spans="1:26" ht="15.75" customHeight="1" x14ac:dyDescent="0.2">
      <c r="A522" s="47"/>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7"/>
    </row>
    <row r="523" spans="1:26" ht="15.75" customHeight="1" x14ac:dyDescent="0.2">
      <c r="A523" s="47"/>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7"/>
    </row>
    <row r="524" spans="1:26" ht="15.75" customHeight="1" x14ac:dyDescent="0.2">
      <c r="A524" s="47"/>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7"/>
    </row>
    <row r="525" spans="1:26" ht="15.75" customHeight="1" x14ac:dyDescent="0.2">
      <c r="A525" s="47"/>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7"/>
    </row>
    <row r="526" spans="1:26" ht="15.75" customHeight="1" x14ac:dyDescent="0.2">
      <c r="A526" s="47"/>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7"/>
    </row>
    <row r="527" spans="1:26" ht="15.75" customHeight="1" x14ac:dyDescent="0.2">
      <c r="A527" s="47"/>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7"/>
    </row>
    <row r="528" spans="1:26" ht="15.75" customHeight="1" x14ac:dyDescent="0.2">
      <c r="A528" s="47"/>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7"/>
    </row>
    <row r="529" spans="1:26" ht="15.75" customHeight="1" x14ac:dyDescent="0.2">
      <c r="A529" s="47"/>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7"/>
    </row>
    <row r="530" spans="1:26" ht="15.75" customHeight="1" x14ac:dyDescent="0.2">
      <c r="A530" s="47"/>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7"/>
    </row>
    <row r="531" spans="1:26" ht="15.75" customHeight="1" x14ac:dyDescent="0.2">
      <c r="A531" s="47"/>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7"/>
    </row>
    <row r="532" spans="1:26" ht="15.75" customHeight="1" x14ac:dyDescent="0.2">
      <c r="A532" s="47"/>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7"/>
    </row>
    <row r="533" spans="1:26" ht="15.75" customHeight="1" x14ac:dyDescent="0.2">
      <c r="A533" s="47"/>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7"/>
    </row>
    <row r="534" spans="1:26" ht="15.75" customHeight="1" x14ac:dyDescent="0.2">
      <c r="A534" s="47"/>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7"/>
    </row>
    <row r="535" spans="1:26" ht="15.75" customHeight="1" x14ac:dyDescent="0.2">
      <c r="A535" s="47"/>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7"/>
    </row>
    <row r="536" spans="1:26" ht="15.75" customHeight="1" x14ac:dyDescent="0.2">
      <c r="A536" s="47"/>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7"/>
    </row>
    <row r="537" spans="1:26" ht="15.75" customHeight="1" x14ac:dyDescent="0.2">
      <c r="A537" s="47"/>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7"/>
    </row>
    <row r="538" spans="1:26" ht="15.75" customHeight="1" x14ac:dyDescent="0.2">
      <c r="A538" s="47"/>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7"/>
    </row>
    <row r="539" spans="1:26" ht="15.75" customHeight="1" x14ac:dyDescent="0.2">
      <c r="A539" s="47"/>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7"/>
    </row>
    <row r="540" spans="1:26" ht="15.75" customHeight="1" x14ac:dyDescent="0.2">
      <c r="A540" s="47"/>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7"/>
    </row>
    <row r="541" spans="1:26" ht="15.75" customHeight="1" x14ac:dyDescent="0.2">
      <c r="A541" s="47"/>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7"/>
    </row>
    <row r="542" spans="1:26" ht="15.75" customHeight="1" x14ac:dyDescent="0.2">
      <c r="A542" s="47"/>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7"/>
    </row>
    <row r="543" spans="1:26" ht="15.75" customHeight="1" x14ac:dyDescent="0.2">
      <c r="A543" s="47"/>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7"/>
    </row>
    <row r="544" spans="1:26" ht="15.75" customHeight="1" x14ac:dyDescent="0.2">
      <c r="A544" s="47"/>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7"/>
    </row>
    <row r="545" spans="1:26" ht="15.75" customHeight="1" x14ac:dyDescent="0.2">
      <c r="A545" s="47"/>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7"/>
    </row>
    <row r="546" spans="1:26" ht="15.75" customHeight="1" x14ac:dyDescent="0.2">
      <c r="A546" s="47"/>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7"/>
    </row>
    <row r="547" spans="1:26" ht="15.75" customHeight="1" x14ac:dyDescent="0.2">
      <c r="A547" s="47"/>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7"/>
    </row>
    <row r="548" spans="1:26" ht="15.75" customHeight="1" x14ac:dyDescent="0.2">
      <c r="A548" s="47"/>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7"/>
    </row>
    <row r="549" spans="1:26" ht="15.75" customHeight="1" x14ac:dyDescent="0.2">
      <c r="A549" s="47"/>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7"/>
    </row>
    <row r="550" spans="1:26" ht="15.75" customHeight="1" x14ac:dyDescent="0.2">
      <c r="A550" s="47"/>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7"/>
    </row>
    <row r="551" spans="1:26" ht="15.75" customHeight="1" x14ac:dyDescent="0.2">
      <c r="A551" s="47"/>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7"/>
    </row>
    <row r="552" spans="1:26" ht="15.75" customHeight="1" x14ac:dyDescent="0.2">
      <c r="A552" s="47"/>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7"/>
    </row>
    <row r="553" spans="1:26" ht="15.75" customHeight="1" x14ac:dyDescent="0.2">
      <c r="A553" s="47"/>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7"/>
    </row>
    <row r="554" spans="1:26" ht="15.75" customHeight="1" x14ac:dyDescent="0.2">
      <c r="A554" s="47"/>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7"/>
    </row>
    <row r="555" spans="1:26" ht="15.75" customHeight="1" x14ac:dyDescent="0.2">
      <c r="A555" s="47"/>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7"/>
    </row>
    <row r="556" spans="1:26" ht="15.75" customHeight="1" x14ac:dyDescent="0.2">
      <c r="A556" s="47"/>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7"/>
    </row>
    <row r="557" spans="1:26" ht="15.75" customHeight="1" x14ac:dyDescent="0.2">
      <c r="A557" s="47"/>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7"/>
    </row>
    <row r="558" spans="1:26" ht="15.75" customHeight="1" x14ac:dyDescent="0.2">
      <c r="A558" s="47"/>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7"/>
    </row>
    <row r="559" spans="1:26" ht="15.75" customHeight="1" x14ac:dyDescent="0.2">
      <c r="A559" s="47"/>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7"/>
    </row>
    <row r="560" spans="1:26" ht="15.75" customHeight="1" x14ac:dyDescent="0.2">
      <c r="A560" s="47"/>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7"/>
    </row>
    <row r="561" spans="1:26" ht="15.75" customHeight="1" x14ac:dyDescent="0.2">
      <c r="A561" s="47"/>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7"/>
    </row>
    <row r="562" spans="1:26" ht="15.75" customHeight="1" x14ac:dyDescent="0.2">
      <c r="A562" s="47"/>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7"/>
    </row>
    <row r="563" spans="1:26" ht="15.75" customHeight="1" x14ac:dyDescent="0.2">
      <c r="A563" s="47"/>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7"/>
    </row>
    <row r="564" spans="1:26" ht="15.75" customHeight="1" x14ac:dyDescent="0.2">
      <c r="A564" s="47"/>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7"/>
    </row>
    <row r="565" spans="1:26" ht="15.75" customHeight="1" x14ac:dyDescent="0.2">
      <c r="A565" s="47"/>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7"/>
    </row>
    <row r="566" spans="1:26" ht="15.75" customHeight="1" x14ac:dyDescent="0.2">
      <c r="A566" s="47"/>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7"/>
    </row>
    <row r="567" spans="1:26" ht="15.75" customHeight="1" x14ac:dyDescent="0.2">
      <c r="A567" s="47"/>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7"/>
    </row>
    <row r="568" spans="1:26" ht="15.75" customHeight="1" x14ac:dyDescent="0.2">
      <c r="A568" s="47"/>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7"/>
    </row>
    <row r="569" spans="1:26" ht="15.75" customHeight="1" x14ac:dyDescent="0.2">
      <c r="A569" s="47"/>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7"/>
    </row>
    <row r="570" spans="1:26" ht="15.75" customHeight="1" x14ac:dyDescent="0.2">
      <c r="A570" s="47"/>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7"/>
    </row>
    <row r="571" spans="1:26" ht="15.75" customHeight="1" x14ac:dyDescent="0.2">
      <c r="A571" s="47"/>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7"/>
    </row>
    <row r="572" spans="1:26" ht="15.75" customHeight="1" x14ac:dyDescent="0.2">
      <c r="A572" s="47"/>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7"/>
    </row>
    <row r="573" spans="1:26" ht="15.75" customHeight="1" x14ac:dyDescent="0.2">
      <c r="A573" s="47"/>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7"/>
    </row>
    <row r="574" spans="1:26" ht="15.75" customHeight="1" x14ac:dyDescent="0.2">
      <c r="A574" s="47"/>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7"/>
    </row>
    <row r="575" spans="1:26" ht="15.75" customHeight="1" x14ac:dyDescent="0.2">
      <c r="A575" s="47"/>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7"/>
    </row>
    <row r="576" spans="1:26" ht="15.75" customHeight="1" x14ac:dyDescent="0.2">
      <c r="A576" s="47"/>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7"/>
    </row>
    <row r="577" spans="1:26" ht="15.75" customHeight="1" x14ac:dyDescent="0.2">
      <c r="A577" s="47"/>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7"/>
    </row>
    <row r="578" spans="1:26" ht="15.75" customHeight="1" x14ac:dyDescent="0.2">
      <c r="A578" s="47"/>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7"/>
    </row>
    <row r="579" spans="1:26" ht="15.75" customHeight="1" x14ac:dyDescent="0.2">
      <c r="A579" s="47"/>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7"/>
    </row>
    <row r="580" spans="1:26" ht="15.75" customHeight="1" x14ac:dyDescent="0.2">
      <c r="A580" s="47"/>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7"/>
    </row>
    <row r="581" spans="1:26" ht="15.75" customHeight="1" x14ac:dyDescent="0.2">
      <c r="A581" s="47"/>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7"/>
    </row>
    <row r="582" spans="1:26" ht="15.75" customHeight="1" x14ac:dyDescent="0.2">
      <c r="A582" s="47"/>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7"/>
    </row>
    <row r="583" spans="1:26" ht="15.75" customHeight="1" x14ac:dyDescent="0.2">
      <c r="A583" s="47"/>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7"/>
    </row>
    <row r="584" spans="1:26" ht="15.75" customHeight="1" x14ac:dyDescent="0.2">
      <c r="A584" s="47"/>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7"/>
    </row>
    <row r="585" spans="1:26" ht="15.75" customHeight="1" x14ac:dyDescent="0.2">
      <c r="A585" s="47"/>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7"/>
    </row>
    <row r="586" spans="1:26" ht="15.75" customHeight="1" x14ac:dyDescent="0.2">
      <c r="A586" s="47"/>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7"/>
    </row>
    <row r="587" spans="1:26" ht="15.75" customHeight="1" x14ac:dyDescent="0.2">
      <c r="A587" s="47"/>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7"/>
    </row>
    <row r="588" spans="1:26" ht="15.75" customHeight="1" x14ac:dyDescent="0.2">
      <c r="A588" s="47"/>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7"/>
    </row>
    <row r="589" spans="1:26" ht="15.75" customHeight="1" x14ac:dyDescent="0.2">
      <c r="A589" s="47"/>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7"/>
    </row>
    <row r="590" spans="1:26" ht="15.75" customHeight="1" x14ac:dyDescent="0.2">
      <c r="A590" s="47"/>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7"/>
    </row>
    <row r="591" spans="1:26" ht="15.75" customHeight="1" x14ac:dyDescent="0.2">
      <c r="A591" s="47"/>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7"/>
    </row>
    <row r="592" spans="1:26" ht="15.75" customHeight="1" x14ac:dyDescent="0.2">
      <c r="A592" s="47"/>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7"/>
    </row>
    <row r="593" spans="1:26" ht="15.75" customHeight="1" x14ac:dyDescent="0.2">
      <c r="A593" s="47"/>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7"/>
    </row>
    <row r="594" spans="1:26" ht="15.75" customHeight="1" x14ac:dyDescent="0.2">
      <c r="A594" s="47"/>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7"/>
    </row>
    <row r="595" spans="1:26" ht="15.75" customHeight="1" x14ac:dyDescent="0.2">
      <c r="A595" s="47"/>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7"/>
    </row>
    <row r="596" spans="1:26" ht="15.75" customHeight="1" x14ac:dyDescent="0.2">
      <c r="A596" s="47"/>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7"/>
    </row>
    <row r="597" spans="1:26" ht="15.75" customHeight="1" x14ac:dyDescent="0.2">
      <c r="A597" s="47"/>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7"/>
    </row>
    <row r="598" spans="1:26" ht="15.75" customHeight="1" x14ac:dyDescent="0.2">
      <c r="A598" s="47"/>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7"/>
    </row>
    <row r="599" spans="1:26" ht="15.75" customHeight="1" x14ac:dyDescent="0.2">
      <c r="A599" s="47"/>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7"/>
    </row>
    <row r="600" spans="1:26" ht="15.75" customHeight="1" x14ac:dyDescent="0.2">
      <c r="A600" s="47"/>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7"/>
    </row>
    <row r="601" spans="1:26" ht="15.75" customHeight="1" x14ac:dyDescent="0.2">
      <c r="A601" s="47"/>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7"/>
    </row>
    <row r="602" spans="1:26" ht="15.75" customHeight="1" x14ac:dyDescent="0.2">
      <c r="A602" s="47"/>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7"/>
    </row>
    <row r="603" spans="1:26" ht="15.75" customHeight="1" x14ac:dyDescent="0.2">
      <c r="A603" s="47"/>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7"/>
    </row>
    <row r="604" spans="1:26" ht="15.75" customHeight="1" x14ac:dyDescent="0.2">
      <c r="A604" s="47"/>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7"/>
    </row>
    <row r="605" spans="1:26" ht="15.75" customHeight="1" x14ac:dyDescent="0.2">
      <c r="A605" s="47"/>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7"/>
    </row>
    <row r="606" spans="1:26" ht="15.75" customHeight="1" x14ac:dyDescent="0.2">
      <c r="A606" s="47"/>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7"/>
    </row>
    <row r="607" spans="1:26" ht="15.75" customHeight="1" x14ac:dyDescent="0.2">
      <c r="A607" s="47"/>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7"/>
    </row>
    <row r="608" spans="1:26" ht="15.75" customHeight="1" x14ac:dyDescent="0.2">
      <c r="A608" s="47"/>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7"/>
    </row>
    <row r="609" spans="1:26" ht="15.75" customHeight="1" x14ac:dyDescent="0.2">
      <c r="A609" s="47"/>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7"/>
    </row>
    <row r="610" spans="1:26" ht="15.75" customHeight="1" x14ac:dyDescent="0.2">
      <c r="A610" s="47"/>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7"/>
    </row>
    <row r="611" spans="1:26" ht="15.75" customHeight="1" x14ac:dyDescent="0.2">
      <c r="A611" s="47"/>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7"/>
    </row>
    <row r="612" spans="1:26" ht="15.75" customHeight="1" x14ac:dyDescent="0.2">
      <c r="A612" s="47"/>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7"/>
    </row>
    <row r="613" spans="1:26" ht="15.75" customHeight="1" x14ac:dyDescent="0.2">
      <c r="A613" s="47"/>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7"/>
    </row>
    <row r="614" spans="1:26" ht="15.75" customHeight="1" x14ac:dyDescent="0.2">
      <c r="A614" s="47"/>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7"/>
    </row>
    <row r="615" spans="1:26" ht="15.75" customHeight="1" x14ac:dyDescent="0.2">
      <c r="A615" s="47"/>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7"/>
    </row>
    <row r="616" spans="1:26" ht="15.75" customHeight="1" x14ac:dyDescent="0.2">
      <c r="A616" s="47"/>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7"/>
    </row>
    <row r="617" spans="1:26" ht="15.75" customHeight="1" x14ac:dyDescent="0.2">
      <c r="A617" s="47"/>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7"/>
    </row>
    <row r="618" spans="1:26" ht="15.75" customHeight="1" x14ac:dyDescent="0.2">
      <c r="A618" s="47"/>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7"/>
    </row>
    <row r="619" spans="1:26" ht="15.75" customHeight="1" x14ac:dyDescent="0.2">
      <c r="A619" s="47"/>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7"/>
    </row>
    <row r="620" spans="1:26" ht="15.75" customHeight="1" x14ac:dyDescent="0.2">
      <c r="A620" s="47"/>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7"/>
    </row>
    <row r="621" spans="1:26" ht="15.75" customHeight="1" x14ac:dyDescent="0.2">
      <c r="A621" s="47"/>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7"/>
    </row>
    <row r="622" spans="1:26" ht="15.75" customHeight="1" x14ac:dyDescent="0.2">
      <c r="A622" s="47"/>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7"/>
    </row>
    <row r="623" spans="1:26" ht="15.75" customHeight="1" x14ac:dyDescent="0.2">
      <c r="A623" s="47"/>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7"/>
    </row>
    <row r="624" spans="1:26" ht="15.75" customHeight="1" x14ac:dyDescent="0.2">
      <c r="A624" s="47"/>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7"/>
    </row>
    <row r="625" spans="1:26" ht="15.75" customHeight="1" x14ac:dyDescent="0.2">
      <c r="A625" s="47"/>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7"/>
    </row>
    <row r="626" spans="1:26" ht="15.75" customHeight="1" x14ac:dyDescent="0.2">
      <c r="A626" s="47"/>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7"/>
    </row>
    <row r="627" spans="1:26" ht="15.75" customHeight="1" x14ac:dyDescent="0.2">
      <c r="A627" s="47"/>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7"/>
    </row>
    <row r="628" spans="1:26" ht="15.75" customHeight="1" x14ac:dyDescent="0.2">
      <c r="A628" s="47"/>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7"/>
    </row>
    <row r="629" spans="1:26" ht="15.75" customHeight="1" x14ac:dyDescent="0.2">
      <c r="A629" s="47"/>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7"/>
    </row>
    <row r="630" spans="1:26" ht="15.75" customHeight="1" x14ac:dyDescent="0.2">
      <c r="A630" s="47"/>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7"/>
    </row>
    <row r="631" spans="1:26" ht="15.75" customHeight="1" x14ac:dyDescent="0.2">
      <c r="A631" s="47"/>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7"/>
    </row>
    <row r="632" spans="1:26" ht="15.75" customHeight="1" x14ac:dyDescent="0.2">
      <c r="A632" s="47"/>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7"/>
    </row>
    <row r="633" spans="1:26" ht="15.75" customHeight="1" x14ac:dyDescent="0.2">
      <c r="A633" s="47"/>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7"/>
    </row>
    <row r="634" spans="1:26" ht="15.75" customHeight="1" x14ac:dyDescent="0.2">
      <c r="A634" s="47"/>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7"/>
    </row>
    <row r="635" spans="1:26" ht="15.75" customHeight="1" x14ac:dyDescent="0.2">
      <c r="A635" s="47"/>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7"/>
    </row>
    <row r="636" spans="1:26" ht="15.75" customHeight="1" x14ac:dyDescent="0.2">
      <c r="A636" s="47"/>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7"/>
    </row>
    <row r="637" spans="1:26" ht="15.75" customHeight="1" x14ac:dyDescent="0.2">
      <c r="A637" s="47"/>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7"/>
    </row>
    <row r="638" spans="1:26" ht="15.75" customHeight="1" x14ac:dyDescent="0.2">
      <c r="A638" s="47"/>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7"/>
    </row>
    <row r="639" spans="1:26" ht="15.75" customHeight="1" x14ac:dyDescent="0.2">
      <c r="A639" s="47"/>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7"/>
    </row>
    <row r="640" spans="1:26" ht="15.75" customHeight="1" x14ac:dyDescent="0.2">
      <c r="A640" s="47"/>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7"/>
    </row>
    <row r="641" spans="1:26" ht="15.75" customHeight="1" x14ac:dyDescent="0.2">
      <c r="A641" s="47"/>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7"/>
    </row>
    <row r="642" spans="1:26" ht="15.75" customHeight="1" x14ac:dyDescent="0.2">
      <c r="A642" s="47"/>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7"/>
    </row>
    <row r="643" spans="1:26" ht="15.75" customHeight="1" x14ac:dyDescent="0.2">
      <c r="A643" s="47"/>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7"/>
    </row>
    <row r="644" spans="1:26" ht="15.75" customHeight="1" x14ac:dyDescent="0.2">
      <c r="A644" s="47"/>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7"/>
    </row>
    <row r="645" spans="1:26" ht="15.75" customHeight="1" x14ac:dyDescent="0.2">
      <c r="A645" s="47"/>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7"/>
    </row>
    <row r="646" spans="1:26" ht="15.75" customHeight="1" x14ac:dyDescent="0.2">
      <c r="A646" s="47"/>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7"/>
    </row>
    <row r="647" spans="1:26" ht="15.75" customHeight="1" x14ac:dyDescent="0.2">
      <c r="A647" s="47"/>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7"/>
    </row>
    <row r="648" spans="1:26" ht="15.75" customHeight="1" x14ac:dyDescent="0.2">
      <c r="A648" s="47"/>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7"/>
    </row>
    <row r="649" spans="1:26" ht="15.75" customHeight="1" x14ac:dyDescent="0.2">
      <c r="A649" s="47"/>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7"/>
    </row>
    <row r="650" spans="1:26" ht="15.75" customHeight="1" x14ac:dyDescent="0.2">
      <c r="A650" s="47"/>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7"/>
    </row>
    <row r="651" spans="1:26" ht="15.75" customHeight="1" x14ac:dyDescent="0.2">
      <c r="A651" s="47"/>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7"/>
    </row>
    <row r="652" spans="1:26" ht="15.75" customHeight="1" x14ac:dyDescent="0.2">
      <c r="A652" s="47"/>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7"/>
    </row>
    <row r="653" spans="1:26" ht="15.75" customHeight="1" x14ac:dyDescent="0.2">
      <c r="A653" s="47"/>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7"/>
    </row>
    <row r="654" spans="1:26" ht="15.75" customHeight="1" x14ac:dyDescent="0.2">
      <c r="A654" s="47"/>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7"/>
    </row>
    <row r="655" spans="1:26" ht="15.75" customHeight="1" x14ac:dyDescent="0.2">
      <c r="A655" s="47"/>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7"/>
    </row>
    <row r="656" spans="1:26" ht="15.75" customHeight="1" x14ac:dyDescent="0.2">
      <c r="A656" s="47"/>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7"/>
    </row>
    <row r="657" spans="1:26" ht="15.75" customHeight="1" x14ac:dyDescent="0.2">
      <c r="A657" s="47"/>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7"/>
    </row>
    <row r="658" spans="1:26" ht="15.75" customHeight="1" x14ac:dyDescent="0.2">
      <c r="A658" s="47"/>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7"/>
    </row>
    <row r="659" spans="1:26" ht="15.75" customHeight="1" x14ac:dyDescent="0.2">
      <c r="A659" s="47"/>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7"/>
    </row>
    <row r="660" spans="1:26" ht="15.75" customHeight="1" x14ac:dyDescent="0.2">
      <c r="A660" s="47"/>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7"/>
    </row>
    <row r="661" spans="1:26" ht="15.75" customHeight="1" x14ac:dyDescent="0.2">
      <c r="A661" s="47"/>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7"/>
    </row>
    <row r="662" spans="1:26" ht="15.75" customHeight="1" x14ac:dyDescent="0.2">
      <c r="A662" s="47"/>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7"/>
    </row>
    <row r="663" spans="1:26" ht="15.75" customHeight="1" x14ac:dyDescent="0.2">
      <c r="A663" s="47"/>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7"/>
    </row>
    <row r="664" spans="1:26" ht="15.75" customHeight="1" x14ac:dyDescent="0.2">
      <c r="A664" s="47"/>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7"/>
    </row>
    <row r="665" spans="1:26" ht="15.75" customHeight="1" x14ac:dyDescent="0.2">
      <c r="A665" s="47"/>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7"/>
    </row>
    <row r="666" spans="1:26" ht="15.75" customHeight="1" x14ac:dyDescent="0.2">
      <c r="A666" s="47"/>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7"/>
    </row>
    <row r="667" spans="1:26" ht="15.75" customHeight="1" x14ac:dyDescent="0.2">
      <c r="A667" s="47"/>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7"/>
    </row>
    <row r="668" spans="1:26" ht="15.75" customHeight="1" x14ac:dyDescent="0.2">
      <c r="A668" s="47"/>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7"/>
    </row>
    <row r="669" spans="1:26" ht="15.75" customHeight="1" x14ac:dyDescent="0.2">
      <c r="A669" s="47"/>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7"/>
    </row>
    <row r="670" spans="1:26" ht="15.75" customHeight="1" x14ac:dyDescent="0.2">
      <c r="A670" s="47"/>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7"/>
    </row>
    <row r="671" spans="1:26" ht="15.75" customHeight="1" x14ac:dyDescent="0.2">
      <c r="A671" s="47"/>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7"/>
    </row>
    <row r="672" spans="1:26" ht="15.75" customHeight="1" x14ac:dyDescent="0.2">
      <c r="A672" s="47"/>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7"/>
    </row>
    <row r="673" spans="1:26" ht="15.75" customHeight="1" x14ac:dyDescent="0.2">
      <c r="A673" s="47"/>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7"/>
    </row>
    <row r="674" spans="1:26" ht="15.75" customHeight="1" x14ac:dyDescent="0.2">
      <c r="A674" s="47"/>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7"/>
    </row>
    <row r="675" spans="1:26" ht="15.75" customHeight="1" x14ac:dyDescent="0.2">
      <c r="A675" s="47"/>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7"/>
    </row>
    <row r="676" spans="1:26" ht="15.75" customHeight="1" x14ac:dyDescent="0.2">
      <c r="A676" s="47"/>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7"/>
    </row>
    <row r="677" spans="1:26" ht="15.75" customHeight="1" x14ac:dyDescent="0.2">
      <c r="A677" s="47"/>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7"/>
    </row>
    <row r="678" spans="1:26" ht="15.75" customHeight="1" x14ac:dyDescent="0.2">
      <c r="A678" s="47"/>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7"/>
    </row>
    <row r="679" spans="1:26" ht="15.75" customHeight="1" x14ac:dyDescent="0.2">
      <c r="A679" s="47"/>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7"/>
    </row>
    <row r="680" spans="1:26" ht="15.75" customHeight="1" x14ac:dyDescent="0.2">
      <c r="A680" s="47"/>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7"/>
    </row>
    <row r="681" spans="1:26" ht="15.75" customHeight="1" x14ac:dyDescent="0.2">
      <c r="A681" s="47"/>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7"/>
    </row>
    <row r="682" spans="1:26" ht="15.75" customHeight="1" x14ac:dyDescent="0.2">
      <c r="A682" s="47"/>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7"/>
    </row>
    <row r="683" spans="1:26" ht="15.75" customHeight="1" x14ac:dyDescent="0.2">
      <c r="A683" s="47"/>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7"/>
    </row>
    <row r="684" spans="1:26" ht="15.75" customHeight="1" x14ac:dyDescent="0.2">
      <c r="A684" s="47"/>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7"/>
    </row>
    <row r="685" spans="1:26" ht="15.75" customHeight="1" x14ac:dyDescent="0.2">
      <c r="A685" s="47"/>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7"/>
    </row>
    <row r="686" spans="1:26" ht="15.75" customHeight="1" x14ac:dyDescent="0.2">
      <c r="A686" s="47"/>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7"/>
    </row>
    <row r="687" spans="1:26" ht="15.75" customHeight="1" x14ac:dyDescent="0.2">
      <c r="A687" s="47"/>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7"/>
    </row>
    <row r="688" spans="1:26" ht="15.75" customHeight="1" x14ac:dyDescent="0.2">
      <c r="A688" s="47"/>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7"/>
    </row>
    <row r="689" spans="1:26" ht="15.75" customHeight="1" x14ac:dyDescent="0.2">
      <c r="A689" s="47"/>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7"/>
    </row>
    <row r="690" spans="1:26" ht="15.75" customHeight="1" x14ac:dyDescent="0.2">
      <c r="A690" s="47"/>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7"/>
    </row>
    <row r="691" spans="1:26" ht="15.75" customHeight="1" x14ac:dyDescent="0.2">
      <c r="A691" s="47"/>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7"/>
    </row>
    <row r="692" spans="1:26" ht="15.75" customHeight="1" x14ac:dyDescent="0.2">
      <c r="A692" s="47"/>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7"/>
    </row>
    <row r="693" spans="1:26" ht="15.75" customHeight="1" x14ac:dyDescent="0.2">
      <c r="A693" s="47"/>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7"/>
    </row>
    <row r="694" spans="1:26" ht="15.75" customHeight="1" x14ac:dyDescent="0.2">
      <c r="A694" s="47"/>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7"/>
    </row>
    <row r="695" spans="1:26" ht="15.75" customHeight="1" x14ac:dyDescent="0.2">
      <c r="A695" s="47"/>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7"/>
    </row>
    <row r="696" spans="1:26" ht="15.75" customHeight="1" x14ac:dyDescent="0.2">
      <c r="A696" s="47"/>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7"/>
    </row>
    <row r="697" spans="1:26" ht="15.75" customHeight="1" x14ac:dyDescent="0.2">
      <c r="A697" s="47"/>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7"/>
    </row>
    <row r="698" spans="1:26" ht="15.75" customHeight="1" x14ac:dyDescent="0.2">
      <c r="A698" s="47"/>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7"/>
    </row>
    <row r="699" spans="1:26" ht="15.75" customHeight="1" x14ac:dyDescent="0.2">
      <c r="A699" s="47"/>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7"/>
    </row>
    <row r="700" spans="1:26" ht="15.75" customHeight="1" x14ac:dyDescent="0.2">
      <c r="A700" s="47"/>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7"/>
    </row>
    <row r="701" spans="1:26" ht="15.75" customHeight="1" x14ac:dyDescent="0.2">
      <c r="A701" s="47"/>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7"/>
    </row>
    <row r="702" spans="1:26" ht="15.75" customHeight="1" x14ac:dyDescent="0.2">
      <c r="A702" s="47"/>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7"/>
    </row>
    <row r="703" spans="1:26" ht="15.75" customHeight="1" x14ac:dyDescent="0.2">
      <c r="A703" s="47"/>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7"/>
    </row>
    <row r="704" spans="1:26" ht="15.75" customHeight="1" x14ac:dyDescent="0.2">
      <c r="A704" s="47"/>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7"/>
    </row>
    <row r="705" spans="1:26" ht="15.75" customHeight="1" x14ac:dyDescent="0.2">
      <c r="A705" s="47"/>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7"/>
    </row>
    <row r="706" spans="1:26" ht="15.75" customHeight="1" x14ac:dyDescent="0.2">
      <c r="A706" s="47"/>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7"/>
    </row>
    <row r="707" spans="1:26" ht="15.75" customHeight="1" x14ac:dyDescent="0.2">
      <c r="A707" s="47"/>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7"/>
    </row>
    <row r="708" spans="1:26" ht="15.75" customHeight="1" x14ac:dyDescent="0.2">
      <c r="A708" s="47"/>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7"/>
    </row>
    <row r="709" spans="1:26" ht="15.75" customHeight="1" x14ac:dyDescent="0.2">
      <c r="A709" s="47"/>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7"/>
    </row>
    <row r="710" spans="1:26" ht="15.75" customHeight="1" x14ac:dyDescent="0.2">
      <c r="A710" s="47"/>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7"/>
    </row>
    <row r="711" spans="1:26" ht="15.75" customHeight="1" x14ac:dyDescent="0.2">
      <c r="A711" s="47"/>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7"/>
    </row>
    <row r="712" spans="1:26" ht="15.75" customHeight="1" x14ac:dyDescent="0.2">
      <c r="A712" s="47"/>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7"/>
    </row>
    <row r="713" spans="1:26" ht="15.75" customHeight="1" x14ac:dyDescent="0.2">
      <c r="A713" s="47"/>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7"/>
    </row>
    <row r="714" spans="1:26" ht="15.75" customHeight="1" x14ac:dyDescent="0.2">
      <c r="A714" s="47"/>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7"/>
    </row>
    <row r="715" spans="1:26" ht="15.75" customHeight="1" x14ac:dyDescent="0.2">
      <c r="A715" s="47"/>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7"/>
    </row>
    <row r="716" spans="1:26" ht="15.75" customHeight="1" x14ac:dyDescent="0.2">
      <c r="A716" s="47"/>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7"/>
    </row>
    <row r="717" spans="1:26" ht="15.75" customHeight="1" x14ac:dyDescent="0.2">
      <c r="A717" s="47"/>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7"/>
    </row>
    <row r="718" spans="1:26" ht="15.75" customHeight="1" x14ac:dyDescent="0.2">
      <c r="A718" s="47"/>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7"/>
    </row>
    <row r="719" spans="1:26" ht="15.75" customHeight="1" x14ac:dyDescent="0.2">
      <c r="A719" s="47"/>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7"/>
    </row>
    <row r="720" spans="1:26" ht="15.75" customHeight="1" x14ac:dyDescent="0.2">
      <c r="A720" s="47"/>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7"/>
    </row>
    <row r="721" spans="1:26" ht="15.75" customHeight="1" x14ac:dyDescent="0.2">
      <c r="A721" s="47"/>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7"/>
    </row>
    <row r="722" spans="1:26" ht="15.75" customHeight="1" x14ac:dyDescent="0.2">
      <c r="A722" s="47"/>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7"/>
    </row>
    <row r="723" spans="1:26" ht="15.75" customHeight="1" x14ac:dyDescent="0.2">
      <c r="A723" s="47"/>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7"/>
    </row>
    <row r="724" spans="1:26" ht="15.75" customHeight="1" x14ac:dyDescent="0.2">
      <c r="A724" s="47"/>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7"/>
    </row>
    <row r="725" spans="1:26" ht="15.75" customHeight="1" x14ac:dyDescent="0.2">
      <c r="A725" s="47"/>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7"/>
    </row>
    <row r="726" spans="1:26" ht="15.75" customHeight="1" x14ac:dyDescent="0.2">
      <c r="A726" s="47"/>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7"/>
    </row>
    <row r="727" spans="1:26" ht="15.75" customHeight="1" x14ac:dyDescent="0.2">
      <c r="A727" s="47"/>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7"/>
    </row>
    <row r="728" spans="1:26" ht="15.75" customHeight="1" x14ac:dyDescent="0.2">
      <c r="A728" s="47"/>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7"/>
    </row>
    <row r="729" spans="1:26" ht="15.75" customHeight="1" x14ac:dyDescent="0.2">
      <c r="A729" s="47"/>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7"/>
    </row>
    <row r="730" spans="1:26" ht="15.75" customHeight="1" x14ac:dyDescent="0.2">
      <c r="A730" s="47"/>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7"/>
    </row>
    <row r="731" spans="1:26" ht="15.75" customHeight="1" x14ac:dyDescent="0.2">
      <c r="A731" s="47"/>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7"/>
    </row>
    <row r="732" spans="1:26" ht="15.75" customHeight="1" x14ac:dyDescent="0.2">
      <c r="A732" s="47"/>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7"/>
    </row>
    <row r="733" spans="1:26" ht="15.75" customHeight="1" x14ac:dyDescent="0.2">
      <c r="A733" s="47"/>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7"/>
    </row>
    <row r="734" spans="1:26" ht="15.75" customHeight="1" x14ac:dyDescent="0.2">
      <c r="A734" s="47"/>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7"/>
    </row>
    <row r="735" spans="1:26" ht="15.75" customHeight="1" x14ac:dyDescent="0.2">
      <c r="A735" s="47"/>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7"/>
    </row>
    <row r="736" spans="1:26" ht="15.75" customHeight="1" x14ac:dyDescent="0.2">
      <c r="A736" s="47"/>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7"/>
    </row>
    <row r="737" spans="1:26" ht="15.75" customHeight="1" x14ac:dyDescent="0.2">
      <c r="A737" s="47"/>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7"/>
    </row>
    <row r="738" spans="1:26" ht="15.75" customHeight="1" x14ac:dyDescent="0.2">
      <c r="A738" s="47"/>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7"/>
    </row>
    <row r="739" spans="1:26" ht="15.75" customHeight="1" x14ac:dyDescent="0.2">
      <c r="A739" s="47"/>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7"/>
    </row>
    <row r="740" spans="1:26" ht="15.75" customHeight="1" x14ac:dyDescent="0.2">
      <c r="A740" s="47"/>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7"/>
    </row>
    <row r="741" spans="1:26" ht="15.75" customHeight="1" x14ac:dyDescent="0.2">
      <c r="A741" s="47"/>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7"/>
    </row>
    <row r="742" spans="1:26" ht="15.75" customHeight="1" x14ac:dyDescent="0.2">
      <c r="A742" s="47"/>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7"/>
    </row>
    <row r="743" spans="1:26" ht="15.75" customHeight="1" x14ac:dyDescent="0.2">
      <c r="A743" s="47"/>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7"/>
    </row>
    <row r="744" spans="1:26" ht="15.75" customHeight="1" x14ac:dyDescent="0.2">
      <c r="A744" s="47"/>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7"/>
    </row>
    <row r="745" spans="1:26" ht="15.75" customHeight="1" x14ac:dyDescent="0.2">
      <c r="A745" s="47"/>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7"/>
    </row>
    <row r="746" spans="1:26" ht="15.75" customHeight="1" x14ac:dyDescent="0.2">
      <c r="A746" s="47"/>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7"/>
    </row>
    <row r="747" spans="1:26" ht="15.75" customHeight="1" x14ac:dyDescent="0.2">
      <c r="A747" s="47"/>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7"/>
    </row>
    <row r="748" spans="1:26" ht="15.75" customHeight="1" x14ac:dyDescent="0.2">
      <c r="A748" s="47"/>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7"/>
    </row>
    <row r="749" spans="1:26" ht="15.75" customHeight="1" x14ac:dyDescent="0.2">
      <c r="A749" s="47"/>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7"/>
    </row>
    <row r="750" spans="1:26" ht="15.75" customHeight="1" x14ac:dyDescent="0.2">
      <c r="A750" s="47"/>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7"/>
    </row>
    <row r="751" spans="1:26" ht="15.75" customHeight="1" x14ac:dyDescent="0.2">
      <c r="A751" s="47"/>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7"/>
    </row>
    <row r="752" spans="1:26" ht="15.75" customHeight="1" x14ac:dyDescent="0.2">
      <c r="A752" s="47"/>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7"/>
    </row>
    <row r="753" spans="1:26" ht="15.75" customHeight="1" x14ac:dyDescent="0.2">
      <c r="A753" s="47"/>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7"/>
    </row>
    <row r="754" spans="1:26" ht="15.75" customHeight="1" x14ac:dyDescent="0.2">
      <c r="A754" s="47"/>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7"/>
    </row>
    <row r="755" spans="1:26" ht="15.75" customHeight="1" x14ac:dyDescent="0.2">
      <c r="A755" s="47"/>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7"/>
    </row>
    <row r="756" spans="1:26" ht="15.75" customHeight="1" x14ac:dyDescent="0.2">
      <c r="A756" s="47"/>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7"/>
    </row>
    <row r="757" spans="1:26" ht="15.75" customHeight="1" x14ac:dyDescent="0.2">
      <c r="A757" s="47"/>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7"/>
    </row>
    <row r="758" spans="1:26" ht="15.75" customHeight="1" x14ac:dyDescent="0.2">
      <c r="A758" s="47"/>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7"/>
    </row>
    <row r="759" spans="1:26" ht="15.75" customHeight="1" x14ac:dyDescent="0.2">
      <c r="A759" s="47"/>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7"/>
    </row>
    <row r="760" spans="1:26" ht="15.75" customHeight="1" x14ac:dyDescent="0.2">
      <c r="A760" s="47"/>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7"/>
    </row>
    <row r="761" spans="1:26" ht="15.75" customHeight="1" x14ac:dyDescent="0.2">
      <c r="A761" s="47"/>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7"/>
    </row>
    <row r="762" spans="1:26" ht="15.75" customHeight="1" x14ac:dyDescent="0.2">
      <c r="A762" s="47"/>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7"/>
    </row>
    <row r="763" spans="1:26" ht="15.75" customHeight="1" x14ac:dyDescent="0.2">
      <c r="A763" s="47"/>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7"/>
    </row>
    <row r="764" spans="1:26" ht="15.75" customHeight="1" x14ac:dyDescent="0.2">
      <c r="A764" s="47"/>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7"/>
    </row>
    <row r="765" spans="1:26" ht="15.75" customHeight="1" x14ac:dyDescent="0.2">
      <c r="A765" s="47"/>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7"/>
    </row>
    <row r="766" spans="1:26" ht="15.75" customHeight="1" x14ac:dyDescent="0.2">
      <c r="A766" s="47"/>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7"/>
    </row>
    <row r="767" spans="1:26" ht="15.75" customHeight="1" x14ac:dyDescent="0.2">
      <c r="A767" s="47"/>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7"/>
    </row>
    <row r="768" spans="1:26" ht="15.75" customHeight="1" x14ac:dyDescent="0.2">
      <c r="A768" s="47"/>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7"/>
    </row>
    <row r="769" spans="1:26" ht="15.75" customHeight="1" x14ac:dyDescent="0.2">
      <c r="A769" s="47"/>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7"/>
    </row>
    <row r="770" spans="1:26" ht="15.75" customHeight="1" x14ac:dyDescent="0.2">
      <c r="A770" s="47"/>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7"/>
    </row>
    <row r="771" spans="1:26" ht="15.75" customHeight="1" x14ac:dyDescent="0.2">
      <c r="A771" s="47"/>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7"/>
    </row>
    <row r="772" spans="1:26" ht="15.75" customHeight="1" x14ac:dyDescent="0.2">
      <c r="A772" s="47"/>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7"/>
    </row>
    <row r="773" spans="1:26" ht="15.75" customHeight="1" x14ac:dyDescent="0.2">
      <c r="A773" s="47"/>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7"/>
    </row>
    <row r="774" spans="1:26" ht="15.75" customHeight="1" x14ac:dyDescent="0.2">
      <c r="A774" s="47"/>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7"/>
    </row>
    <row r="775" spans="1:26" ht="15.75" customHeight="1" x14ac:dyDescent="0.2">
      <c r="A775" s="47"/>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7"/>
    </row>
    <row r="776" spans="1:26" ht="15.75" customHeight="1" x14ac:dyDescent="0.2">
      <c r="A776" s="47"/>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7"/>
    </row>
    <row r="777" spans="1:26" ht="15.75" customHeight="1" x14ac:dyDescent="0.2">
      <c r="A777" s="47"/>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7"/>
    </row>
    <row r="778" spans="1:26" ht="15.75" customHeight="1" x14ac:dyDescent="0.2">
      <c r="A778" s="47"/>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7"/>
    </row>
    <row r="779" spans="1:26" ht="15.75" customHeight="1" x14ac:dyDescent="0.2">
      <c r="A779" s="47"/>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7"/>
    </row>
    <row r="780" spans="1:26" ht="15.75" customHeight="1" x14ac:dyDescent="0.2">
      <c r="A780" s="47"/>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7"/>
    </row>
    <row r="781" spans="1:26" ht="15.75" customHeight="1" x14ac:dyDescent="0.2">
      <c r="A781" s="47"/>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7"/>
    </row>
    <row r="782" spans="1:26" ht="15.75" customHeight="1" x14ac:dyDescent="0.2">
      <c r="A782" s="47"/>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7"/>
    </row>
    <row r="783" spans="1:26" ht="15.75" customHeight="1" x14ac:dyDescent="0.2">
      <c r="A783" s="47"/>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7"/>
    </row>
    <row r="784" spans="1:26" ht="15.75" customHeight="1" x14ac:dyDescent="0.2">
      <c r="A784" s="47"/>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7"/>
    </row>
    <row r="785" spans="1:26" ht="15.75" customHeight="1" x14ac:dyDescent="0.2">
      <c r="A785" s="47"/>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7"/>
    </row>
    <row r="786" spans="1:26" ht="15.75" customHeight="1" x14ac:dyDescent="0.2">
      <c r="A786" s="47"/>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7"/>
    </row>
    <row r="787" spans="1:26" ht="15.75" customHeight="1" x14ac:dyDescent="0.2">
      <c r="A787" s="47"/>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7"/>
    </row>
    <row r="788" spans="1:26" ht="15.75" customHeight="1" x14ac:dyDescent="0.2">
      <c r="A788" s="47"/>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7"/>
    </row>
    <row r="789" spans="1:26" ht="15.75" customHeight="1" x14ac:dyDescent="0.2">
      <c r="A789" s="47"/>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7"/>
    </row>
    <row r="790" spans="1:26" ht="15.75" customHeight="1" x14ac:dyDescent="0.2">
      <c r="A790" s="47"/>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7"/>
    </row>
    <row r="791" spans="1:26" ht="15.75" customHeight="1" x14ac:dyDescent="0.2">
      <c r="A791" s="47"/>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7"/>
    </row>
    <row r="792" spans="1:26" ht="15.75" customHeight="1" x14ac:dyDescent="0.2">
      <c r="A792" s="47"/>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7"/>
    </row>
    <row r="793" spans="1:26" ht="15.75" customHeight="1" x14ac:dyDescent="0.2">
      <c r="A793" s="47"/>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7"/>
    </row>
    <row r="794" spans="1:26" ht="15.75" customHeight="1" x14ac:dyDescent="0.2">
      <c r="A794" s="47"/>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7"/>
    </row>
    <row r="795" spans="1:26" ht="15.75" customHeight="1" x14ac:dyDescent="0.2">
      <c r="A795" s="47"/>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7"/>
    </row>
    <row r="796" spans="1:26" ht="15.75" customHeight="1" x14ac:dyDescent="0.2">
      <c r="A796" s="47"/>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7"/>
    </row>
    <row r="797" spans="1:26" ht="15.75" customHeight="1" x14ac:dyDescent="0.2">
      <c r="A797" s="47"/>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7"/>
    </row>
    <row r="798" spans="1:26" ht="15.75" customHeight="1" x14ac:dyDescent="0.2">
      <c r="A798" s="47"/>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7"/>
    </row>
    <row r="799" spans="1:26" ht="15.75" customHeight="1" x14ac:dyDescent="0.2">
      <c r="A799" s="47"/>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7"/>
    </row>
    <row r="800" spans="1:26" ht="15.75" customHeight="1" x14ac:dyDescent="0.2">
      <c r="A800" s="47"/>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7"/>
    </row>
    <row r="801" spans="1:26" ht="15.75" customHeight="1" x14ac:dyDescent="0.2">
      <c r="A801" s="47"/>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7"/>
    </row>
    <row r="802" spans="1:26" ht="15.75" customHeight="1" x14ac:dyDescent="0.2">
      <c r="A802" s="47"/>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7"/>
    </row>
    <row r="803" spans="1:26" ht="15.75" customHeight="1" x14ac:dyDescent="0.2">
      <c r="A803" s="47"/>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7"/>
    </row>
    <row r="804" spans="1:26" ht="15.75" customHeight="1" x14ac:dyDescent="0.2">
      <c r="A804" s="47"/>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7"/>
    </row>
    <row r="805" spans="1:26" ht="15.75" customHeight="1" x14ac:dyDescent="0.2">
      <c r="A805" s="47"/>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7"/>
    </row>
    <row r="806" spans="1:26" ht="15.75" customHeight="1" x14ac:dyDescent="0.2">
      <c r="A806" s="47"/>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7"/>
    </row>
    <row r="807" spans="1:26" ht="15.75" customHeight="1" x14ac:dyDescent="0.2">
      <c r="A807" s="47"/>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7"/>
    </row>
    <row r="808" spans="1:26" ht="15.75" customHeight="1" x14ac:dyDescent="0.2">
      <c r="A808" s="47"/>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7"/>
    </row>
    <row r="809" spans="1:26" ht="15.75" customHeight="1" x14ac:dyDescent="0.2">
      <c r="A809" s="47"/>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7"/>
    </row>
    <row r="810" spans="1:26" ht="15.75" customHeight="1" x14ac:dyDescent="0.2">
      <c r="A810" s="47"/>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7"/>
    </row>
    <row r="811" spans="1:26" ht="15.75" customHeight="1" x14ac:dyDescent="0.2">
      <c r="A811" s="47"/>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7"/>
    </row>
    <row r="812" spans="1:26" ht="15.75" customHeight="1" x14ac:dyDescent="0.2">
      <c r="A812" s="47"/>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7"/>
    </row>
    <row r="813" spans="1:26" ht="15.75" customHeight="1" x14ac:dyDescent="0.2">
      <c r="A813" s="47"/>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7"/>
    </row>
    <row r="814" spans="1:26" ht="15.75" customHeight="1" x14ac:dyDescent="0.2">
      <c r="A814" s="47"/>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7"/>
    </row>
    <row r="815" spans="1:26" ht="15.75" customHeight="1" x14ac:dyDescent="0.2">
      <c r="A815" s="47"/>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7"/>
    </row>
    <row r="816" spans="1:26" ht="15.75" customHeight="1" x14ac:dyDescent="0.2">
      <c r="A816" s="47"/>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7"/>
    </row>
    <row r="817" spans="1:26" ht="15.75" customHeight="1" x14ac:dyDescent="0.2">
      <c r="A817" s="47"/>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7"/>
    </row>
    <row r="818" spans="1:26" ht="15.75" customHeight="1" x14ac:dyDescent="0.2">
      <c r="A818" s="47"/>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7"/>
    </row>
    <row r="819" spans="1:26" ht="15.75" customHeight="1" x14ac:dyDescent="0.2">
      <c r="A819" s="47"/>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7"/>
    </row>
    <row r="820" spans="1:26" ht="15.75" customHeight="1" x14ac:dyDescent="0.2">
      <c r="A820" s="47"/>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7"/>
    </row>
    <row r="821" spans="1:26" ht="15.75" customHeight="1" x14ac:dyDescent="0.2">
      <c r="A821" s="47"/>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7"/>
    </row>
    <row r="822" spans="1:26" ht="15.75" customHeight="1" x14ac:dyDescent="0.2">
      <c r="A822" s="47"/>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7"/>
    </row>
    <row r="823" spans="1:26" ht="15.75" customHeight="1" x14ac:dyDescent="0.2">
      <c r="A823" s="47"/>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7"/>
    </row>
    <row r="824" spans="1:26" ht="15.75" customHeight="1" x14ac:dyDescent="0.2">
      <c r="A824" s="47"/>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7"/>
    </row>
    <row r="825" spans="1:26" ht="15.75" customHeight="1" x14ac:dyDescent="0.2">
      <c r="A825" s="47"/>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7"/>
    </row>
    <row r="826" spans="1:26" ht="15.75" customHeight="1" x14ac:dyDescent="0.2">
      <c r="A826" s="47"/>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7"/>
    </row>
    <row r="827" spans="1:26" ht="15.75" customHeight="1" x14ac:dyDescent="0.2">
      <c r="A827" s="47"/>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7"/>
    </row>
    <row r="828" spans="1:26" ht="15.75" customHeight="1" x14ac:dyDescent="0.2">
      <c r="A828" s="47"/>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7"/>
    </row>
    <row r="829" spans="1:26" ht="15.75" customHeight="1" x14ac:dyDescent="0.2">
      <c r="A829" s="47"/>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7"/>
    </row>
    <row r="830" spans="1:26" ht="15.75" customHeight="1" x14ac:dyDescent="0.2">
      <c r="A830" s="47"/>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7"/>
    </row>
    <row r="831" spans="1:26" ht="15.75" customHeight="1" x14ac:dyDescent="0.2">
      <c r="A831" s="47"/>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7"/>
    </row>
    <row r="832" spans="1:26" ht="15.75" customHeight="1" x14ac:dyDescent="0.2">
      <c r="A832" s="47"/>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7"/>
    </row>
    <row r="833" spans="1:26" ht="15.75" customHeight="1" x14ac:dyDescent="0.2">
      <c r="A833" s="47"/>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7"/>
    </row>
    <row r="834" spans="1:26" ht="15.75" customHeight="1" x14ac:dyDescent="0.2">
      <c r="A834" s="47"/>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7"/>
    </row>
    <row r="835" spans="1:26" ht="15.75" customHeight="1" x14ac:dyDescent="0.2">
      <c r="A835" s="47"/>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7"/>
    </row>
    <row r="836" spans="1:26" ht="15.75" customHeight="1" x14ac:dyDescent="0.2">
      <c r="A836" s="47"/>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7"/>
    </row>
    <row r="837" spans="1:26" ht="15.75" customHeight="1" x14ac:dyDescent="0.2">
      <c r="A837" s="47"/>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7"/>
    </row>
    <row r="838" spans="1:26" ht="15.75" customHeight="1" x14ac:dyDescent="0.2">
      <c r="A838" s="47"/>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7"/>
    </row>
    <row r="839" spans="1:26" ht="15.75" customHeight="1" x14ac:dyDescent="0.2">
      <c r="A839" s="47"/>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7"/>
    </row>
    <row r="840" spans="1:26" ht="15.75" customHeight="1" x14ac:dyDescent="0.2">
      <c r="A840" s="47"/>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7"/>
    </row>
    <row r="841" spans="1:26" ht="15.75" customHeight="1" x14ac:dyDescent="0.2">
      <c r="A841" s="47"/>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7"/>
    </row>
    <row r="842" spans="1:26" ht="15.75" customHeight="1" x14ac:dyDescent="0.2">
      <c r="A842" s="47"/>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7"/>
    </row>
    <row r="843" spans="1:26" ht="15.75" customHeight="1" x14ac:dyDescent="0.2">
      <c r="A843" s="47"/>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7"/>
    </row>
    <row r="844" spans="1:26" ht="15.75" customHeight="1" x14ac:dyDescent="0.2">
      <c r="A844" s="47"/>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7"/>
    </row>
    <row r="845" spans="1:26" ht="15.75" customHeight="1" x14ac:dyDescent="0.2">
      <c r="A845" s="47"/>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7"/>
    </row>
    <row r="846" spans="1:26" ht="15.75" customHeight="1" x14ac:dyDescent="0.2">
      <c r="A846" s="47"/>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7"/>
    </row>
    <row r="847" spans="1:26" ht="15.75" customHeight="1" x14ac:dyDescent="0.2">
      <c r="A847" s="47"/>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7"/>
    </row>
    <row r="848" spans="1:26" ht="15.75" customHeight="1" x14ac:dyDescent="0.2">
      <c r="A848" s="47"/>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7"/>
    </row>
    <row r="849" spans="1:26" ht="15.75" customHeight="1" x14ac:dyDescent="0.2">
      <c r="A849" s="47"/>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7"/>
    </row>
    <row r="850" spans="1:26" ht="15.75" customHeight="1" x14ac:dyDescent="0.2">
      <c r="A850" s="47"/>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7"/>
    </row>
    <row r="851" spans="1:26" ht="15.75" customHeight="1" x14ac:dyDescent="0.2">
      <c r="A851" s="47"/>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7"/>
    </row>
    <row r="852" spans="1:26" ht="15.75" customHeight="1" x14ac:dyDescent="0.2">
      <c r="A852" s="47"/>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7"/>
    </row>
    <row r="853" spans="1:26" ht="15.75" customHeight="1" x14ac:dyDescent="0.2">
      <c r="A853" s="47"/>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7"/>
    </row>
    <row r="854" spans="1:26" ht="15.75" customHeight="1" x14ac:dyDescent="0.2">
      <c r="A854" s="47"/>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7"/>
    </row>
    <row r="855" spans="1:26" ht="15.75" customHeight="1" x14ac:dyDescent="0.2">
      <c r="A855" s="47"/>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7"/>
    </row>
    <row r="856" spans="1:26" ht="15.75" customHeight="1" x14ac:dyDescent="0.2">
      <c r="A856" s="47"/>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7"/>
    </row>
    <row r="857" spans="1:26" ht="15.75" customHeight="1" x14ac:dyDescent="0.2">
      <c r="A857" s="47"/>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7"/>
    </row>
    <row r="858" spans="1:26" ht="15.75" customHeight="1" x14ac:dyDescent="0.2">
      <c r="A858" s="47"/>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7"/>
    </row>
    <row r="859" spans="1:26" ht="15.75" customHeight="1" x14ac:dyDescent="0.2">
      <c r="A859" s="47"/>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7"/>
    </row>
    <row r="860" spans="1:26" ht="15.75" customHeight="1" x14ac:dyDescent="0.2">
      <c r="A860" s="47"/>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7"/>
    </row>
    <row r="861" spans="1:26" ht="15.75" customHeight="1" x14ac:dyDescent="0.2">
      <c r="A861" s="47"/>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7"/>
    </row>
    <row r="862" spans="1:26" ht="15.75" customHeight="1" x14ac:dyDescent="0.2">
      <c r="A862" s="47"/>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7"/>
    </row>
    <row r="863" spans="1:26" ht="15.75" customHeight="1" x14ac:dyDescent="0.2">
      <c r="A863" s="47"/>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7"/>
    </row>
    <row r="864" spans="1:26" ht="15.75" customHeight="1" x14ac:dyDescent="0.2">
      <c r="A864" s="47"/>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7"/>
    </row>
    <row r="865" spans="1:26" ht="15.75" customHeight="1" x14ac:dyDescent="0.2">
      <c r="A865" s="47"/>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7"/>
    </row>
    <row r="866" spans="1:26" ht="15.75" customHeight="1" x14ac:dyDescent="0.2">
      <c r="A866" s="47"/>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7"/>
    </row>
    <row r="867" spans="1:26" ht="15.75" customHeight="1" x14ac:dyDescent="0.2">
      <c r="A867" s="47"/>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7"/>
    </row>
    <row r="868" spans="1:26" ht="15.75" customHeight="1" x14ac:dyDescent="0.2">
      <c r="A868" s="47"/>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7"/>
    </row>
    <row r="869" spans="1:26" ht="15.75" customHeight="1" x14ac:dyDescent="0.2">
      <c r="A869" s="47"/>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7"/>
    </row>
    <row r="870" spans="1:26" ht="15.75" customHeight="1" x14ac:dyDescent="0.2">
      <c r="A870" s="47"/>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7"/>
    </row>
    <row r="871" spans="1:26" ht="15.75" customHeight="1" x14ac:dyDescent="0.2">
      <c r="A871" s="47"/>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7"/>
    </row>
    <row r="872" spans="1:26" ht="15.75" customHeight="1" x14ac:dyDescent="0.2">
      <c r="A872" s="47"/>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7"/>
    </row>
    <row r="873" spans="1:26" ht="15.75" customHeight="1" x14ac:dyDescent="0.2">
      <c r="A873" s="47"/>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7"/>
    </row>
    <row r="874" spans="1:26" ht="15.75" customHeight="1" x14ac:dyDescent="0.2">
      <c r="A874" s="47"/>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7"/>
    </row>
    <row r="875" spans="1:26" ht="15.75" customHeight="1" x14ac:dyDescent="0.2">
      <c r="A875" s="47"/>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7"/>
    </row>
    <row r="876" spans="1:26" ht="15.75" customHeight="1" x14ac:dyDescent="0.2">
      <c r="A876" s="47"/>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7"/>
    </row>
    <row r="877" spans="1:26" ht="15.75" customHeight="1" x14ac:dyDescent="0.2">
      <c r="A877" s="47"/>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7"/>
    </row>
    <row r="878" spans="1:26" ht="15.75" customHeight="1" x14ac:dyDescent="0.2">
      <c r="A878" s="47"/>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7"/>
    </row>
    <row r="879" spans="1:26" ht="15.75" customHeight="1" x14ac:dyDescent="0.2">
      <c r="A879" s="47"/>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7"/>
    </row>
    <row r="880" spans="1:26" ht="15.75" customHeight="1" x14ac:dyDescent="0.2">
      <c r="A880" s="47"/>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7"/>
    </row>
    <row r="881" spans="1:26" ht="15.75" customHeight="1" x14ac:dyDescent="0.2">
      <c r="A881" s="47"/>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7"/>
    </row>
    <row r="882" spans="1:26" ht="15.75" customHeight="1" x14ac:dyDescent="0.2">
      <c r="A882" s="47"/>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7"/>
    </row>
    <row r="883" spans="1:26" ht="15.75" customHeight="1" x14ac:dyDescent="0.2">
      <c r="A883" s="47"/>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7"/>
    </row>
    <row r="884" spans="1:26" ht="15.75" customHeight="1" x14ac:dyDescent="0.2">
      <c r="A884" s="47"/>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7"/>
    </row>
    <row r="885" spans="1:26" ht="15.75" customHeight="1" x14ac:dyDescent="0.2">
      <c r="A885" s="47"/>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7"/>
    </row>
    <row r="886" spans="1:26" ht="15.75" customHeight="1" x14ac:dyDescent="0.2">
      <c r="A886" s="47"/>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7"/>
    </row>
    <row r="887" spans="1:26" ht="15.75" customHeight="1" x14ac:dyDescent="0.2">
      <c r="A887" s="47"/>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7"/>
    </row>
    <row r="888" spans="1:26" ht="15.75" customHeight="1" x14ac:dyDescent="0.2">
      <c r="A888" s="47"/>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7"/>
    </row>
    <row r="889" spans="1:26" ht="15.75" customHeight="1" x14ac:dyDescent="0.2">
      <c r="A889" s="47"/>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7"/>
    </row>
    <row r="890" spans="1:26" ht="15.75" customHeight="1" x14ac:dyDescent="0.2">
      <c r="A890" s="47"/>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7"/>
    </row>
    <row r="891" spans="1:26" ht="15.75" customHeight="1" x14ac:dyDescent="0.2">
      <c r="A891" s="47"/>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7"/>
    </row>
    <row r="892" spans="1:26" ht="15.75" customHeight="1" x14ac:dyDescent="0.2">
      <c r="A892" s="47"/>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7"/>
    </row>
    <row r="893" spans="1:26" ht="15.75" customHeight="1" x14ac:dyDescent="0.2">
      <c r="A893" s="47"/>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7"/>
    </row>
    <row r="894" spans="1:26" ht="15.75" customHeight="1" x14ac:dyDescent="0.2">
      <c r="A894" s="47"/>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7"/>
    </row>
    <row r="895" spans="1:26" ht="15.75" customHeight="1" x14ac:dyDescent="0.2">
      <c r="A895" s="47"/>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7"/>
    </row>
    <row r="896" spans="1:26" ht="15.75" customHeight="1" x14ac:dyDescent="0.2">
      <c r="A896" s="47"/>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7"/>
    </row>
    <row r="897" spans="1:26" ht="15.75" customHeight="1" x14ac:dyDescent="0.2">
      <c r="A897" s="47"/>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7"/>
    </row>
    <row r="898" spans="1:26" ht="15.75" customHeight="1" x14ac:dyDescent="0.2">
      <c r="A898" s="47"/>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7"/>
    </row>
    <row r="899" spans="1:26" ht="15.75" customHeight="1" x14ac:dyDescent="0.2">
      <c r="A899" s="47"/>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7"/>
    </row>
    <row r="900" spans="1:26" ht="15.75" customHeight="1" x14ac:dyDescent="0.2">
      <c r="A900" s="47"/>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7"/>
    </row>
    <row r="901" spans="1:26" ht="15.75" customHeight="1" x14ac:dyDescent="0.2">
      <c r="A901" s="47"/>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7"/>
    </row>
    <row r="902" spans="1:26" ht="15.75" customHeight="1" x14ac:dyDescent="0.2">
      <c r="A902" s="47"/>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7"/>
    </row>
    <row r="903" spans="1:26" ht="15.75" customHeight="1" x14ac:dyDescent="0.2">
      <c r="A903" s="47"/>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7"/>
    </row>
    <row r="904" spans="1:26" ht="15.75" customHeight="1" x14ac:dyDescent="0.2">
      <c r="A904" s="47"/>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7"/>
    </row>
    <row r="905" spans="1:26" ht="15.75" customHeight="1" x14ac:dyDescent="0.2">
      <c r="A905" s="47"/>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7"/>
    </row>
    <row r="906" spans="1:26" ht="15.75" customHeight="1" x14ac:dyDescent="0.2">
      <c r="A906" s="47"/>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7"/>
    </row>
    <row r="907" spans="1:26" ht="15.75" customHeight="1" x14ac:dyDescent="0.2">
      <c r="A907" s="47"/>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7"/>
    </row>
    <row r="908" spans="1:26" ht="15.75" customHeight="1" x14ac:dyDescent="0.2">
      <c r="A908" s="47"/>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7"/>
    </row>
    <row r="909" spans="1:26" ht="15.75" customHeight="1" x14ac:dyDescent="0.2">
      <c r="A909" s="47"/>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7"/>
    </row>
    <row r="910" spans="1:26" ht="15.75" customHeight="1" x14ac:dyDescent="0.2">
      <c r="A910" s="47"/>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7"/>
    </row>
    <row r="911" spans="1:26" ht="15.75" customHeight="1" x14ac:dyDescent="0.2">
      <c r="A911" s="47"/>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7"/>
    </row>
    <row r="912" spans="1:26" ht="15.75" customHeight="1" x14ac:dyDescent="0.2">
      <c r="A912" s="47"/>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7"/>
    </row>
    <row r="913" spans="1:26" ht="15.75" customHeight="1" x14ac:dyDescent="0.2">
      <c r="A913" s="47"/>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7"/>
    </row>
    <row r="914" spans="1:26" ht="15.75" customHeight="1" x14ac:dyDescent="0.2">
      <c r="A914" s="47"/>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7"/>
    </row>
    <row r="915" spans="1:26" ht="15.75" customHeight="1" x14ac:dyDescent="0.2">
      <c r="A915" s="47"/>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7"/>
    </row>
    <row r="916" spans="1:26" ht="15.75" customHeight="1" x14ac:dyDescent="0.2">
      <c r="A916" s="47"/>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7"/>
    </row>
    <row r="917" spans="1:26" ht="15.75" customHeight="1" x14ac:dyDescent="0.2">
      <c r="A917" s="47"/>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7"/>
    </row>
    <row r="918" spans="1:26" ht="15.75" customHeight="1" x14ac:dyDescent="0.2">
      <c r="A918" s="47"/>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7"/>
    </row>
    <row r="919" spans="1:26" ht="15.75" customHeight="1" x14ac:dyDescent="0.2">
      <c r="A919" s="47"/>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7"/>
    </row>
    <row r="920" spans="1:26" ht="15.75" customHeight="1" x14ac:dyDescent="0.2">
      <c r="A920" s="47"/>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7"/>
    </row>
    <row r="921" spans="1:26" ht="15.75" customHeight="1" x14ac:dyDescent="0.2">
      <c r="A921" s="47"/>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7"/>
    </row>
    <row r="922" spans="1:26" ht="15.75" customHeight="1" x14ac:dyDescent="0.2">
      <c r="A922" s="47"/>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7"/>
    </row>
    <row r="923" spans="1:26" ht="15.75" customHeight="1" x14ac:dyDescent="0.2">
      <c r="A923" s="47"/>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7"/>
    </row>
    <row r="924" spans="1:26" ht="15.75" customHeight="1" x14ac:dyDescent="0.2">
      <c r="A924" s="47"/>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7"/>
    </row>
    <row r="925" spans="1:26" ht="15.75" customHeight="1" x14ac:dyDescent="0.2">
      <c r="A925" s="47"/>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7"/>
    </row>
    <row r="926" spans="1:26" ht="15.75" customHeight="1" x14ac:dyDescent="0.2">
      <c r="A926" s="47"/>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7"/>
    </row>
    <row r="927" spans="1:26" ht="15.75" customHeight="1" x14ac:dyDescent="0.2">
      <c r="A927" s="47"/>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7"/>
    </row>
    <row r="928" spans="1:26" ht="15.75" customHeight="1" x14ac:dyDescent="0.2">
      <c r="A928" s="47"/>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7"/>
    </row>
    <row r="929" spans="1:26" ht="15.75" customHeight="1" x14ac:dyDescent="0.2">
      <c r="A929" s="47"/>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7"/>
    </row>
    <row r="930" spans="1:26" ht="15.75" customHeight="1" x14ac:dyDescent="0.2">
      <c r="A930" s="47"/>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7"/>
    </row>
    <row r="931" spans="1:26" ht="15.75" customHeight="1" x14ac:dyDescent="0.2">
      <c r="A931" s="47"/>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7"/>
    </row>
    <row r="932" spans="1:26" ht="15.75" customHeight="1" x14ac:dyDescent="0.2">
      <c r="A932" s="47"/>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7"/>
    </row>
    <row r="933" spans="1:26" ht="15.75" customHeight="1" x14ac:dyDescent="0.2">
      <c r="A933" s="47"/>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7"/>
    </row>
    <row r="934" spans="1:26" ht="15.75" customHeight="1" x14ac:dyDescent="0.2">
      <c r="A934" s="47"/>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7"/>
    </row>
    <row r="935" spans="1:26" ht="15.75" customHeight="1" x14ac:dyDescent="0.2">
      <c r="A935" s="47"/>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7"/>
    </row>
    <row r="936" spans="1:26" ht="15.75" customHeight="1" x14ac:dyDescent="0.2">
      <c r="A936" s="47"/>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7"/>
    </row>
    <row r="937" spans="1:26" ht="15.75" customHeight="1" x14ac:dyDescent="0.2">
      <c r="A937" s="47"/>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7"/>
    </row>
    <row r="938" spans="1:26" ht="15.75" customHeight="1" x14ac:dyDescent="0.2">
      <c r="A938" s="47"/>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7"/>
    </row>
    <row r="939" spans="1:26" ht="15.75" customHeight="1" x14ac:dyDescent="0.2">
      <c r="A939" s="47"/>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7"/>
    </row>
    <row r="940" spans="1:26" ht="15.75" customHeight="1" x14ac:dyDescent="0.2">
      <c r="A940" s="47"/>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7"/>
    </row>
    <row r="941" spans="1:26" ht="15.75" customHeight="1" x14ac:dyDescent="0.2">
      <c r="A941" s="47"/>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7"/>
    </row>
    <row r="942" spans="1:26" ht="15.75" customHeight="1" x14ac:dyDescent="0.2">
      <c r="A942" s="47"/>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7"/>
    </row>
    <row r="943" spans="1:26" ht="15.75" customHeight="1" x14ac:dyDescent="0.2">
      <c r="A943" s="47"/>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7"/>
    </row>
    <row r="944" spans="1:26" ht="15.75" customHeight="1" x14ac:dyDescent="0.2">
      <c r="A944" s="47"/>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7"/>
    </row>
    <row r="945" spans="1:26" ht="15.75" customHeight="1" x14ac:dyDescent="0.2">
      <c r="A945" s="47"/>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7"/>
    </row>
    <row r="946" spans="1:26" ht="15.75" customHeight="1" x14ac:dyDescent="0.2">
      <c r="A946" s="47"/>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7"/>
    </row>
    <row r="947" spans="1:26" ht="15.75" customHeight="1" x14ac:dyDescent="0.2">
      <c r="A947" s="47"/>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7"/>
    </row>
    <row r="948" spans="1:26" ht="15.75" customHeight="1" x14ac:dyDescent="0.2">
      <c r="A948" s="47"/>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7"/>
    </row>
    <row r="949" spans="1:26" ht="15.75" customHeight="1" x14ac:dyDescent="0.2">
      <c r="A949" s="47"/>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7"/>
    </row>
    <row r="950" spans="1:26" ht="15.75" customHeight="1" x14ac:dyDescent="0.2">
      <c r="A950" s="47"/>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7"/>
    </row>
    <row r="951" spans="1:26" ht="15.75" customHeight="1" x14ac:dyDescent="0.2">
      <c r="A951" s="47"/>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7"/>
    </row>
    <row r="952" spans="1:26" ht="15.75" customHeight="1" x14ac:dyDescent="0.2">
      <c r="A952" s="47"/>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7"/>
    </row>
    <row r="953" spans="1:26" ht="15.75" customHeight="1" x14ac:dyDescent="0.2">
      <c r="A953" s="47"/>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7"/>
    </row>
    <row r="954" spans="1:26" ht="15.75" customHeight="1" x14ac:dyDescent="0.2">
      <c r="A954" s="47"/>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7"/>
    </row>
    <row r="955" spans="1:26" ht="15.75" customHeight="1" x14ac:dyDescent="0.2">
      <c r="A955" s="47"/>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7"/>
    </row>
    <row r="956" spans="1:26" ht="15.75" customHeight="1" x14ac:dyDescent="0.2">
      <c r="A956" s="47"/>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7"/>
    </row>
    <row r="957" spans="1:26" ht="15.75" customHeight="1" x14ac:dyDescent="0.2">
      <c r="A957" s="47"/>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7"/>
    </row>
    <row r="958" spans="1:26" ht="15.75" customHeight="1" x14ac:dyDescent="0.2">
      <c r="A958" s="47"/>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7"/>
    </row>
    <row r="959" spans="1:26" ht="15.75" customHeight="1" x14ac:dyDescent="0.2">
      <c r="A959" s="47"/>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7"/>
    </row>
    <row r="960" spans="1:26" ht="15.75" customHeight="1" x14ac:dyDescent="0.2">
      <c r="A960" s="47"/>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7"/>
    </row>
    <row r="961" spans="1:26" ht="15.75" customHeight="1" x14ac:dyDescent="0.2">
      <c r="A961" s="47"/>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7"/>
    </row>
    <row r="962" spans="1:26" ht="15.75" customHeight="1" x14ac:dyDescent="0.2">
      <c r="A962" s="47"/>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7"/>
    </row>
    <row r="963" spans="1:26" ht="15.75" customHeight="1" x14ac:dyDescent="0.2">
      <c r="A963" s="47"/>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7"/>
    </row>
    <row r="964" spans="1:26" ht="15.75" customHeight="1" x14ac:dyDescent="0.2">
      <c r="A964" s="47"/>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7"/>
    </row>
    <row r="965" spans="1:26" ht="15.75" customHeight="1" x14ac:dyDescent="0.2">
      <c r="A965" s="47"/>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7"/>
    </row>
    <row r="966" spans="1:26" ht="15.75" customHeight="1" x14ac:dyDescent="0.2">
      <c r="A966" s="47"/>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7"/>
    </row>
    <row r="967" spans="1:26" ht="15.75" customHeight="1" x14ac:dyDescent="0.2">
      <c r="A967" s="47"/>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7"/>
    </row>
    <row r="968" spans="1:26" ht="15.75" customHeight="1" x14ac:dyDescent="0.2">
      <c r="A968" s="47"/>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7"/>
    </row>
    <row r="969" spans="1:26" ht="15.75" customHeight="1" x14ac:dyDescent="0.2">
      <c r="A969" s="47"/>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7"/>
    </row>
    <row r="970" spans="1:26" ht="15.75" customHeight="1" x14ac:dyDescent="0.2">
      <c r="A970" s="47"/>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7"/>
    </row>
    <row r="971" spans="1:26" ht="15.75" customHeight="1" x14ac:dyDescent="0.2">
      <c r="A971" s="47"/>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7"/>
    </row>
    <row r="972" spans="1:26" ht="15.75" customHeight="1" x14ac:dyDescent="0.2">
      <c r="A972" s="47"/>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7"/>
    </row>
    <row r="973" spans="1:26" ht="15.75" customHeight="1" x14ac:dyDescent="0.2">
      <c r="A973" s="47"/>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7"/>
    </row>
    <row r="974" spans="1:26" ht="15.75" customHeight="1" x14ac:dyDescent="0.2">
      <c r="A974" s="47"/>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7"/>
    </row>
    <row r="975" spans="1:26" ht="15.75" customHeight="1" x14ac:dyDescent="0.2">
      <c r="A975" s="47"/>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7"/>
    </row>
    <row r="976" spans="1:26" ht="15.75" customHeight="1" x14ac:dyDescent="0.2">
      <c r="A976" s="47"/>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7"/>
    </row>
    <row r="977" spans="1:26" ht="15.75" customHeight="1" x14ac:dyDescent="0.2">
      <c r="A977" s="47"/>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7"/>
    </row>
    <row r="978" spans="1:26" ht="15.75" customHeight="1" x14ac:dyDescent="0.2">
      <c r="A978" s="47"/>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7"/>
    </row>
    <row r="979" spans="1:26" ht="15.75" customHeight="1" x14ac:dyDescent="0.2">
      <c r="A979" s="47"/>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7"/>
    </row>
    <row r="980" spans="1:26" ht="15.75" customHeight="1" x14ac:dyDescent="0.2">
      <c r="A980" s="47"/>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7"/>
    </row>
    <row r="981" spans="1:26" ht="15.75" customHeight="1" x14ac:dyDescent="0.2">
      <c r="A981" s="47"/>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7"/>
    </row>
    <row r="982" spans="1:26" ht="15.75" customHeight="1" x14ac:dyDescent="0.2">
      <c r="A982" s="47"/>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7"/>
    </row>
    <row r="983" spans="1:26" ht="15.75" customHeight="1" x14ac:dyDescent="0.2">
      <c r="A983" s="47"/>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7"/>
    </row>
    <row r="984" spans="1:26" ht="15.75" customHeight="1" x14ac:dyDescent="0.2">
      <c r="A984" s="47"/>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7"/>
    </row>
    <row r="985" spans="1:26" ht="15.75" customHeight="1" x14ac:dyDescent="0.2">
      <c r="A985" s="47"/>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7"/>
    </row>
    <row r="986" spans="1:26" ht="15.75" customHeight="1" x14ac:dyDescent="0.2">
      <c r="A986" s="47"/>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7"/>
    </row>
    <row r="987" spans="1:26" ht="15.75" customHeight="1" x14ac:dyDescent="0.2">
      <c r="A987" s="47"/>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7"/>
    </row>
    <row r="988" spans="1:26" ht="15.75" customHeight="1" x14ac:dyDescent="0.2">
      <c r="A988" s="47"/>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7"/>
    </row>
    <row r="989" spans="1:26" ht="15.75" customHeight="1" x14ac:dyDescent="0.2">
      <c r="A989" s="47"/>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7"/>
    </row>
    <row r="990" spans="1:26" ht="15.75" customHeight="1" x14ac:dyDescent="0.2">
      <c r="A990" s="47"/>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7"/>
    </row>
    <row r="991" spans="1:26" ht="15.75" customHeight="1" x14ac:dyDescent="0.2">
      <c r="A991" s="47"/>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7"/>
    </row>
    <row r="992" spans="1:26" ht="15.75" customHeight="1" x14ac:dyDescent="0.2">
      <c r="A992" s="47"/>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7"/>
    </row>
    <row r="993" spans="1:26" ht="15.75" customHeight="1" x14ac:dyDescent="0.2">
      <c r="A993" s="47"/>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7"/>
    </row>
    <row r="994" spans="1:26" ht="15.75" customHeight="1" x14ac:dyDescent="0.2">
      <c r="A994" s="47"/>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7"/>
    </row>
    <row r="995" spans="1:26" ht="15.75" customHeight="1" x14ac:dyDescent="0.2">
      <c r="A995" s="47"/>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7"/>
    </row>
    <row r="996" spans="1:26" ht="15.75" customHeight="1" x14ac:dyDescent="0.2">
      <c r="A996" s="47"/>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7"/>
    </row>
  </sheetData>
  <mergeCells count="20">
    <mergeCell ref="V1:V2"/>
    <mergeCell ref="W1:W2"/>
    <mergeCell ref="X1:Y1"/>
    <mergeCell ref="H1:H2"/>
    <mergeCell ref="I1:I2"/>
    <mergeCell ref="J1:J2"/>
    <mergeCell ref="K1:K2"/>
    <mergeCell ref="L1:L2"/>
    <mergeCell ref="N1:N2"/>
    <mergeCell ref="Q1:Q2"/>
    <mergeCell ref="F1:F2"/>
    <mergeCell ref="G1:G2"/>
    <mergeCell ref="O1:P1"/>
    <mergeCell ref="R1:T1"/>
    <mergeCell ref="U1:U2"/>
    <mergeCell ref="A1:A2"/>
    <mergeCell ref="B1:B2"/>
    <mergeCell ref="C1:C2"/>
    <mergeCell ref="D1:D2"/>
    <mergeCell ref="E1:E2"/>
  </mergeCells>
  <hyperlinks>
    <hyperlink ref="B6" r:id="rId1" xr:uid="{00000000-0004-0000-0400-000000000000}"/>
  </hyperlinks>
  <pageMargins left="0.7" right="0.7" top="0.75" bottom="0.75" header="0.3" footer="0.3"/>
  <pageSetup orientation="portrait"/>
  <headerFooter>
    <oddHeader>&amp;L&amp;C&amp;R</oddHeader>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A6FAE-83A1-93B8-C1E1-4962A0CB9B38}">
  <sheetPr>
    <outlinePr summaryBelow="0" summaryRight="0"/>
  </sheetPr>
  <dimension ref="A1:Z1000"/>
  <sheetViews>
    <sheetView showGridLines="0" workbookViewId="0">
      <pane xSplit="1" ySplit="2" topLeftCell="B3" activePane="bottomRight" state="frozen"/>
      <selection pane="topRight" activeCell="B1" sqref="B1"/>
      <selection pane="bottomLeft" activeCell="A3" sqref="A3"/>
      <selection pane="bottomRight" sqref="A1:A2"/>
    </sheetView>
  </sheetViews>
  <sheetFormatPr defaultColWidth="12.5703125" defaultRowHeight="15.75" customHeight="1" x14ac:dyDescent="0.2"/>
  <cols>
    <col min="1" max="1" width="11.140625" customWidth="1"/>
    <col min="2" max="2" width="8" customWidth="1"/>
    <col min="3" max="3" width="37.140625" customWidth="1"/>
    <col min="4" max="4" width="33.85546875" customWidth="1"/>
    <col min="5" max="5" width="38.42578125" customWidth="1"/>
    <col min="6" max="6" width="71.85546875" customWidth="1"/>
    <col min="7" max="7" width="64.5703125" customWidth="1"/>
    <col min="8" max="8" width="63.140625" customWidth="1"/>
    <col min="9" max="9" width="34.7109375" customWidth="1"/>
    <col min="10" max="10" width="58.42578125" customWidth="1"/>
    <col min="11" max="11" width="43" customWidth="1"/>
    <col min="12" max="12" width="50.7109375" customWidth="1"/>
    <col min="14" max="14" width="14.140625" customWidth="1"/>
    <col min="15" max="15" width="16.28515625" customWidth="1"/>
    <col min="16" max="16" width="12" customWidth="1"/>
    <col min="17" max="17" width="71.28515625" customWidth="1"/>
    <col min="18" max="18" width="48.7109375" customWidth="1"/>
    <col min="19" max="19" width="12" customWidth="1"/>
    <col min="20" max="20" width="14.42578125" customWidth="1"/>
    <col min="21" max="21" width="54.28515625" customWidth="1"/>
    <col min="22" max="22" width="41.28515625" customWidth="1"/>
    <col min="23" max="23" width="22.42578125" customWidth="1"/>
    <col min="24" max="24" width="37.85546875" customWidth="1"/>
    <col min="25" max="25" width="11.140625" customWidth="1"/>
    <col min="26" max="26" width="183.42578125" customWidth="1"/>
  </cols>
  <sheetData>
    <row r="1" spans="1:26" ht="15.75" customHeight="1" x14ac:dyDescent="0.2">
      <c r="A1" s="84" t="s">
        <v>83</v>
      </c>
      <c r="B1" s="84" t="s">
        <v>18</v>
      </c>
      <c r="C1" s="84" t="s">
        <v>84</v>
      </c>
      <c r="D1" s="84" t="s">
        <v>85</v>
      </c>
      <c r="E1" s="84" t="s">
        <v>86</v>
      </c>
      <c r="F1" s="84" t="s">
        <v>87</v>
      </c>
      <c r="G1" s="84" t="s">
        <v>33</v>
      </c>
      <c r="H1" s="84" t="s">
        <v>36</v>
      </c>
      <c r="I1" s="84" t="s">
        <v>88</v>
      </c>
      <c r="J1" s="84" t="s">
        <v>89</v>
      </c>
      <c r="K1" s="84" t="s">
        <v>90</v>
      </c>
      <c r="L1" s="84" t="s">
        <v>91</v>
      </c>
      <c r="M1" s="20" t="s">
        <v>47</v>
      </c>
      <c r="N1" s="84" t="s">
        <v>92</v>
      </c>
      <c r="O1" s="90" t="s">
        <v>50</v>
      </c>
      <c r="P1" s="88"/>
      <c r="Q1" s="84" t="s">
        <v>93</v>
      </c>
      <c r="R1" s="90" t="s">
        <v>94</v>
      </c>
      <c r="S1" s="89"/>
      <c r="T1" s="88"/>
      <c r="U1" s="84" t="s">
        <v>95</v>
      </c>
      <c r="V1" s="84" t="s">
        <v>96</v>
      </c>
      <c r="W1" s="84" t="s">
        <v>53</v>
      </c>
      <c r="X1" s="90" t="s">
        <v>97</v>
      </c>
      <c r="Y1" s="88"/>
      <c r="Z1" s="20" t="s">
        <v>98</v>
      </c>
    </row>
    <row r="2" spans="1:26" ht="15.75" customHeight="1" x14ac:dyDescent="0.2">
      <c r="A2" s="85"/>
      <c r="B2" s="85"/>
      <c r="C2" s="85"/>
      <c r="D2" s="85"/>
      <c r="E2" s="85"/>
      <c r="F2" s="85"/>
      <c r="G2" s="85"/>
      <c r="H2" s="85"/>
      <c r="I2" s="85"/>
      <c r="J2" s="85"/>
      <c r="K2" s="85"/>
      <c r="L2" s="85"/>
      <c r="M2" s="20" t="s">
        <v>99</v>
      </c>
      <c r="N2" s="85"/>
      <c r="O2" s="20" t="s">
        <v>100</v>
      </c>
      <c r="P2" s="20" t="s">
        <v>18</v>
      </c>
      <c r="Q2" s="85"/>
      <c r="R2" s="20" t="s">
        <v>101</v>
      </c>
      <c r="S2" s="20" t="s">
        <v>83</v>
      </c>
      <c r="T2" s="20" t="s">
        <v>102</v>
      </c>
      <c r="U2" s="85"/>
      <c r="V2" s="85"/>
      <c r="W2" s="85"/>
      <c r="X2" s="20" t="s">
        <v>101</v>
      </c>
      <c r="Y2" s="20" t="s">
        <v>83</v>
      </c>
      <c r="Z2" s="20"/>
    </row>
    <row r="3" spans="1:26" ht="15.75" customHeight="1" x14ac:dyDescent="0.2">
      <c r="A3" s="13" t="s">
        <v>567</v>
      </c>
      <c r="B3" s="49" t="s">
        <v>568</v>
      </c>
      <c r="C3" s="9" t="s">
        <v>569</v>
      </c>
      <c r="D3" s="49" t="s">
        <v>570</v>
      </c>
      <c r="E3" s="9" t="s">
        <v>571</v>
      </c>
      <c r="F3" s="9" t="s">
        <v>572</v>
      </c>
      <c r="G3" s="9" t="s">
        <v>573</v>
      </c>
      <c r="H3" s="49" t="s">
        <v>574</v>
      </c>
      <c r="I3" s="49" t="s">
        <v>575</v>
      </c>
      <c r="J3" s="49" t="s">
        <v>576</v>
      </c>
      <c r="K3" s="49" t="s">
        <v>577</v>
      </c>
      <c r="L3" s="49" t="s">
        <v>578</v>
      </c>
      <c r="M3" s="49" t="s">
        <v>576</v>
      </c>
      <c r="N3" s="49" t="s">
        <v>576</v>
      </c>
      <c r="O3" s="49" t="s">
        <v>576</v>
      </c>
      <c r="P3" s="49" t="s">
        <v>576</v>
      </c>
      <c r="Q3" s="49" t="s">
        <v>576</v>
      </c>
      <c r="R3" s="49" t="s">
        <v>576</v>
      </c>
      <c r="S3" s="49" t="s">
        <v>576</v>
      </c>
      <c r="T3" s="49" t="s">
        <v>576</v>
      </c>
      <c r="U3" s="49" t="s">
        <v>19</v>
      </c>
      <c r="V3" s="49" t="s">
        <v>106</v>
      </c>
      <c r="W3" s="49" t="s">
        <v>106</v>
      </c>
      <c r="X3" s="49" t="s">
        <v>579</v>
      </c>
      <c r="Y3" s="49" t="s">
        <v>19</v>
      </c>
      <c r="Z3" s="50" t="s">
        <v>580</v>
      </c>
    </row>
    <row r="4" spans="1:26" ht="15.75" customHeight="1" x14ac:dyDescent="0.2">
      <c r="A4" s="13" t="s">
        <v>581</v>
      </c>
      <c r="B4" s="49" t="s">
        <v>19</v>
      </c>
      <c r="C4" s="9" t="s">
        <v>569</v>
      </c>
      <c r="D4" s="49" t="s">
        <v>582</v>
      </c>
      <c r="E4" s="9" t="s">
        <v>571</v>
      </c>
      <c r="F4" s="9" t="s">
        <v>572</v>
      </c>
      <c r="G4" s="9" t="s">
        <v>573</v>
      </c>
      <c r="H4" s="49" t="s">
        <v>574</v>
      </c>
      <c r="I4" s="49" t="s">
        <v>583</v>
      </c>
      <c r="J4" s="49" t="s">
        <v>576</v>
      </c>
      <c r="K4" s="49" t="s">
        <v>577</v>
      </c>
      <c r="L4" s="49" t="s">
        <v>578</v>
      </c>
      <c r="M4" s="49" t="s">
        <v>576</v>
      </c>
      <c r="N4" s="49" t="s">
        <v>576</v>
      </c>
      <c r="O4" s="49" t="s">
        <v>576</v>
      </c>
      <c r="P4" s="49" t="s">
        <v>576</v>
      </c>
      <c r="Q4" s="49" t="s">
        <v>576</v>
      </c>
      <c r="R4" s="49" t="s">
        <v>576</v>
      </c>
      <c r="S4" s="49" t="s">
        <v>576</v>
      </c>
      <c r="T4" s="49" t="s">
        <v>576</v>
      </c>
      <c r="U4" s="49" t="s">
        <v>19</v>
      </c>
      <c r="V4" s="49" t="s">
        <v>106</v>
      </c>
      <c r="W4" s="49" t="s">
        <v>106</v>
      </c>
      <c r="X4" s="49" t="s">
        <v>584</v>
      </c>
      <c r="Y4" s="49" t="s">
        <v>19</v>
      </c>
      <c r="Z4" s="50" t="s">
        <v>585</v>
      </c>
    </row>
    <row r="5" spans="1:26" ht="15.75" customHeight="1" x14ac:dyDescent="0.2">
      <c r="A5" s="13" t="s">
        <v>586</v>
      </c>
      <c r="B5" s="49" t="s">
        <v>587</v>
      </c>
      <c r="C5" s="9" t="s">
        <v>569</v>
      </c>
      <c r="D5" s="49" t="s">
        <v>588</v>
      </c>
      <c r="E5" s="9" t="s">
        <v>571</v>
      </c>
      <c r="F5" s="9" t="s">
        <v>572</v>
      </c>
      <c r="G5" s="9" t="s">
        <v>573</v>
      </c>
      <c r="H5" s="49" t="s">
        <v>574</v>
      </c>
      <c r="I5" s="49" t="s">
        <v>589</v>
      </c>
      <c r="J5" s="49" t="s">
        <v>576</v>
      </c>
      <c r="K5" s="49" t="s">
        <v>577</v>
      </c>
      <c r="L5" s="49" t="s">
        <v>578</v>
      </c>
      <c r="M5" s="49" t="s">
        <v>576</v>
      </c>
      <c r="N5" s="49" t="s">
        <v>576</v>
      </c>
      <c r="O5" s="49" t="s">
        <v>576</v>
      </c>
      <c r="P5" s="49" t="s">
        <v>576</v>
      </c>
      <c r="Q5" s="49" t="s">
        <v>576</v>
      </c>
      <c r="R5" s="49" t="s">
        <v>576</v>
      </c>
      <c r="S5" s="49" t="s">
        <v>576</v>
      </c>
      <c r="T5" s="49" t="s">
        <v>576</v>
      </c>
      <c r="U5" s="49" t="s">
        <v>19</v>
      </c>
      <c r="V5" s="49" t="s">
        <v>106</v>
      </c>
      <c r="W5" s="49" t="s">
        <v>106</v>
      </c>
      <c r="X5" s="49" t="s">
        <v>590</v>
      </c>
      <c r="Y5" s="49" t="s">
        <v>19</v>
      </c>
      <c r="Z5" s="50" t="s">
        <v>591</v>
      </c>
    </row>
    <row r="6" spans="1:26" ht="15.75" customHeight="1" x14ac:dyDescent="0.2">
      <c r="A6" s="13" t="s">
        <v>592</v>
      </c>
      <c r="B6" s="49" t="s">
        <v>593</v>
      </c>
      <c r="C6" s="9" t="s">
        <v>569</v>
      </c>
      <c r="D6" s="49" t="s">
        <v>594</v>
      </c>
      <c r="E6" s="9" t="s">
        <v>571</v>
      </c>
      <c r="F6" s="9" t="s">
        <v>572</v>
      </c>
      <c r="G6" s="9" t="s">
        <v>573</v>
      </c>
      <c r="H6" s="49" t="s">
        <v>574</v>
      </c>
      <c r="I6" s="49" t="s">
        <v>595</v>
      </c>
      <c r="J6" s="49" t="s">
        <v>576</v>
      </c>
      <c r="K6" s="49" t="s">
        <v>577</v>
      </c>
      <c r="L6" s="49" t="s">
        <v>578</v>
      </c>
      <c r="M6" s="49" t="s">
        <v>576</v>
      </c>
      <c r="N6" s="49" t="s">
        <v>576</v>
      </c>
      <c r="O6" s="49" t="s">
        <v>576</v>
      </c>
      <c r="P6" s="49" t="s">
        <v>576</v>
      </c>
      <c r="Q6" s="49" t="s">
        <v>576</v>
      </c>
      <c r="R6" s="49" t="s">
        <v>576</v>
      </c>
      <c r="S6" s="49" t="s">
        <v>576</v>
      </c>
      <c r="T6" s="49" t="s">
        <v>576</v>
      </c>
      <c r="U6" s="49" t="s">
        <v>19</v>
      </c>
      <c r="V6" s="49" t="s">
        <v>106</v>
      </c>
      <c r="W6" s="49" t="s">
        <v>106</v>
      </c>
      <c r="X6" s="49" t="s">
        <v>596</v>
      </c>
      <c r="Y6" s="49" t="s">
        <v>19</v>
      </c>
      <c r="Z6" s="50" t="s">
        <v>597</v>
      </c>
    </row>
    <row r="7" spans="1:26" ht="15.75" customHeight="1" x14ac:dyDescent="0.2">
      <c r="A7" s="13" t="s">
        <v>598</v>
      </c>
      <c r="B7" s="49" t="s">
        <v>19</v>
      </c>
      <c r="C7" s="9" t="s">
        <v>569</v>
      </c>
      <c r="D7" s="49" t="s">
        <v>599</v>
      </c>
      <c r="E7" s="9" t="s">
        <v>571</v>
      </c>
      <c r="F7" s="9" t="s">
        <v>572</v>
      </c>
      <c r="G7" s="9" t="s">
        <v>573</v>
      </c>
      <c r="H7" s="49" t="s">
        <v>574</v>
      </c>
      <c r="I7" s="49" t="s">
        <v>600</v>
      </c>
      <c r="J7" s="49" t="s">
        <v>576</v>
      </c>
      <c r="K7" s="49" t="s">
        <v>577</v>
      </c>
      <c r="L7" s="49" t="s">
        <v>578</v>
      </c>
      <c r="M7" s="49" t="s">
        <v>576</v>
      </c>
      <c r="N7" s="49" t="s">
        <v>576</v>
      </c>
      <c r="O7" s="49" t="s">
        <v>576</v>
      </c>
      <c r="P7" s="49" t="s">
        <v>576</v>
      </c>
      <c r="Q7" s="49" t="s">
        <v>576</v>
      </c>
      <c r="R7" s="49" t="s">
        <v>576</v>
      </c>
      <c r="S7" s="49" t="s">
        <v>576</v>
      </c>
      <c r="T7" s="49" t="s">
        <v>576</v>
      </c>
      <c r="U7" s="49" t="s">
        <v>19</v>
      </c>
      <c r="V7" s="49" t="s">
        <v>106</v>
      </c>
      <c r="W7" s="49" t="s">
        <v>106</v>
      </c>
      <c r="X7" s="49" t="s">
        <v>601</v>
      </c>
      <c r="Y7" s="49" t="s">
        <v>19</v>
      </c>
      <c r="Z7" s="50" t="s">
        <v>602</v>
      </c>
    </row>
    <row r="8" spans="1:26" ht="15.75" customHeight="1" x14ac:dyDescent="0.2">
      <c r="A8" s="51"/>
      <c r="B8" s="51"/>
      <c r="C8" s="51"/>
      <c r="D8" s="51"/>
      <c r="E8" s="51"/>
      <c r="F8" s="51"/>
      <c r="G8" s="51"/>
      <c r="H8" s="51"/>
      <c r="I8" s="51"/>
      <c r="J8" s="51"/>
      <c r="K8" s="51"/>
      <c r="L8" s="51"/>
      <c r="M8" s="51"/>
      <c r="N8" s="51"/>
      <c r="O8" s="51"/>
      <c r="P8" s="51"/>
      <c r="Q8" s="51"/>
      <c r="R8" s="51"/>
      <c r="S8" s="51"/>
      <c r="T8" s="51"/>
      <c r="U8" s="51"/>
      <c r="V8" s="51"/>
      <c r="W8" s="51"/>
      <c r="X8" s="51"/>
      <c r="Y8" s="51"/>
      <c r="Z8" s="15"/>
    </row>
    <row r="9" spans="1:26" ht="15.75" customHeight="1" x14ac:dyDescent="0.2">
      <c r="A9" s="51"/>
      <c r="B9" s="51"/>
      <c r="C9" s="51"/>
      <c r="D9" s="51"/>
      <c r="E9" s="51"/>
      <c r="F9" s="51"/>
      <c r="G9" s="51"/>
      <c r="H9" s="51"/>
      <c r="I9" s="51"/>
      <c r="J9" s="51"/>
      <c r="K9" s="51"/>
      <c r="L9" s="51"/>
      <c r="M9" s="51"/>
      <c r="N9" s="51"/>
      <c r="O9" s="51"/>
      <c r="P9" s="51"/>
      <c r="Q9" s="51"/>
      <c r="R9" s="51"/>
      <c r="S9" s="51"/>
      <c r="T9" s="51"/>
      <c r="U9" s="51"/>
      <c r="V9" s="51"/>
      <c r="W9" s="51"/>
      <c r="X9" s="51"/>
      <c r="Y9" s="51"/>
      <c r="Z9" s="15"/>
    </row>
    <row r="10" spans="1:26" ht="15.75" customHeight="1" x14ac:dyDescent="0.2">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15"/>
    </row>
    <row r="11" spans="1:26" ht="15.75" customHeight="1" x14ac:dyDescent="0.2">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15"/>
    </row>
    <row r="12" spans="1:26" ht="15.75" customHeight="1" x14ac:dyDescent="0.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15"/>
    </row>
    <row r="13" spans="1:26" ht="15.75" customHeight="1" x14ac:dyDescent="0.2">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15"/>
    </row>
    <row r="14" spans="1:26" ht="15.75" customHeight="1" x14ac:dyDescent="0.2">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15"/>
    </row>
    <row r="15" spans="1:26" ht="15.75" customHeight="1" x14ac:dyDescent="0.2">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15"/>
    </row>
    <row r="16" spans="1:26" ht="15.75" customHeight="1" x14ac:dyDescent="0.2">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15"/>
    </row>
    <row r="17" spans="1:26" ht="15.75" customHeight="1" x14ac:dyDescent="0.2">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row>
    <row r="18" spans="1:26" ht="15.75" customHeight="1" x14ac:dyDescent="0.2">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row>
    <row r="19" spans="1:26" ht="15.75" customHeight="1" x14ac:dyDescent="0.2">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row>
    <row r="20" spans="1:26" ht="15.75" customHeight="1" x14ac:dyDescent="0.2">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row>
    <row r="21" spans="1:26" ht="15.75" customHeight="1" x14ac:dyDescent="0.2">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row>
    <row r="22" spans="1:26" ht="15.75" customHeight="1" x14ac:dyDescent="0.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row>
    <row r="23" spans="1:26" ht="15.75" customHeight="1" x14ac:dyDescent="0.2">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row>
    <row r="24" spans="1:26" ht="15.75" customHeight="1" x14ac:dyDescent="0.2">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row>
    <row r="25" spans="1:26" ht="15.75" customHeight="1" x14ac:dyDescent="0.2">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row>
    <row r="26" spans="1:26" ht="15.75" customHeight="1" x14ac:dyDescent="0.2">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row>
    <row r="27" spans="1:26" ht="15.75" customHeight="1" x14ac:dyDescent="0.2">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row>
    <row r="28" spans="1:26" ht="15.75" customHeight="1" x14ac:dyDescent="0.2">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row>
    <row r="29" spans="1:26" ht="15.75" customHeight="1" x14ac:dyDescent="0.2">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row>
    <row r="30" spans="1:26" ht="15.75" customHeight="1" x14ac:dyDescent="0.2">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row>
    <row r="31" spans="1:26" ht="15.75" customHeight="1" x14ac:dyDescent="0.2">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row>
    <row r="32" spans="1:26" ht="15.75" customHeight="1" x14ac:dyDescent="0.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row>
    <row r="33" spans="1:26" ht="15.75" customHeight="1" x14ac:dyDescent="0.2">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row>
    <row r="34" spans="1:26" ht="15.75" customHeight="1" x14ac:dyDescent="0.2">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row>
    <row r="35" spans="1:26" ht="15.75" customHeight="1" x14ac:dyDescent="0.2">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row>
    <row r="36" spans="1:26" ht="15.75" customHeight="1" x14ac:dyDescent="0.2">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row>
    <row r="37" spans="1:26" ht="15.75" customHeight="1" x14ac:dyDescent="0.2">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row>
    <row r="38" spans="1:26" ht="15.75" customHeight="1" x14ac:dyDescent="0.2">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row>
    <row r="39" spans="1:26" ht="15.75" customHeight="1" x14ac:dyDescent="0.2">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row>
    <row r="40" spans="1:26" ht="15.75" customHeight="1" x14ac:dyDescent="0.2">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row>
    <row r="41" spans="1:26" ht="15.75" customHeight="1" x14ac:dyDescent="0.2">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row>
    <row r="42" spans="1:26" ht="15.75" customHeight="1" x14ac:dyDescent="0.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row>
    <row r="43" spans="1:26" ht="15.75" customHeight="1" x14ac:dyDescent="0.2">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row>
    <row r="44" spans="1:26" ht="15.75" customHeight="1" x14ac:dyDescent="0.2">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row>
    <row r="45" spans="1:26" ht="15.75" customHeight="1" x14ac:dyDescent="0.2">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row>
    <row r="46" spans="1:26" ht="15.75" customHeight="1" x14ac:dyDescent="0.2">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row>
    <row r="47" spans="1:26" ht="15.75" customHeight="1" x14ac:dyDescent="0.2">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row>
    <row r="48" spans="1:26" ht="15.75" customHeight="1" x14ac:dyDescent="0.2">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row>
    <row r="49" spans="1:26" ht="15.75" customHeight="1" x14ac:dyDescent="0.2">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row>
    <row r="50" spans="1:26" ht="15.75" customHeight="1" x14ac:dyDescent="0.2">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row>
    <row r="51" spans="1:26" ht="15.75" customHeight="1" x14ac:dyDescent="0.2">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row>
    <row r="52" spans="1:26" ht="15.75" customHeight="1" x14ac:dyDescent="0.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row>
    <row r="53" spans="1:26" ht="15.75" customHeight="1" x14ac:dyDescent="0.2">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row>
    <row r="54" spans="1:26" ht="15.75" customHeight="1" x14ac:dyDescent="0.2">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row>
    <row r="55" spans="1:26" ht="15.75" customHeight="1" x14ac:dyDescent="0.2">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row>
    <row r="56" spans="1:26" ht="15.75" customHeight="1" x14ac:dyDescent="0.2">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row>
    <row r="57" spans="1:26" ht="15.75" customHeight="1" x14ac:dyDescent="0.2">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row>
    <row r="58" spans="1:26" ht="15.75" customHeight="1" x14ac:dyDescent="0.2">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row>
    <row r="59" spans="1:26" ht="15.75" customHeight="1" x14ac:dyDescent="0.2">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row>
    <row r="60" spans="1:26" ht="15.75" customHeight="1" x14ac:dyDescent="0.2">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row>
    <row r="61" spans="1:26" ht="15.75" customHeight="1" x14ac:dyDescent="0.2">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row>
    <row r="62" spans="1:26" ht="15.75" customHeight="1" x14ac:dyDescent="0.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row>
    <row r="63" spans="1:26" ht="15.75" customHeight="1" x14ac:dyDescent="0.2">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row>
    <row r="64" spans="1:26" ht="15.75" customHeight="1" x14ac:dyDescent="0.2">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row>
    <row r="65" spans="1:26" ht="15.75" customHeight="1" x14ac:dyDescent="0.2">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row>
    <row r="66" spans="1:26" ht="15.75" customHeight="1" x14ac:dyDescent="0.2">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row>
    <row r="67" spans="1:26" ht="15.75" customHeight="1" x14ac:dyDescent="0.2">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row>
    <row r="68" spans="1:26" ht="15.75" customHeight="1" x14ac:dyDescent="0.2">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row>
    <row r="69" spans="1:26" ht="15.75" customHeight="1" x14ac:dyDescent="0.2">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row>
    <row r="70" spans="1:26" ht="15.75" customHeight="1" x14ac:dyDescent="0.2">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row>
    <row r="71" spans="1:26" ht="15.75" customHeight="1" x14ac:dyDescent="0.2">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row>
    <row r="72" spans="1:26" ht="15.75" customHeight="1" x14ac:dyDescent="0.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row>
    <row r="73" spans="1:26" ht="15.75" customHeight="1" x14ac:dyDescent="0.2">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row>
    <row r="74" spans="1:26" ht="15.75" customHeight="1" x14ac:dyDescent="0.2">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spans="1:26" ht="15.75" customHeight="1" x14ac:dyDescent="0.2">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row>
    <row r="76" spans="1:26" ht="15.75" customHeight="1" x14ac:dyDescent="0.2">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row>
    <row r="77" spans="1:26" ht="15.75" customHeight="1" x14ac:dyDescent="0.2">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row>
    <row r="78" spans="1:26" ht="15.75" customHeight="1" x14ac:dyDescent="0.2">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row>
    <row r="79" spans="1:26" ht="15.75" customHeight="1" x14ac:dyDescent="0.2">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row>
    <row r="80" spans="1:26" ht="15.75" customHeight="1" x14ac:dyDescent="0.2">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row>
    <row r="81" spans="1:26" ht="15.75" customHeight="1" x14ac:dyDescent="0.2">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spans="1:26" ht="15.75" customHeight="1" x14ac:dyDescent="0.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spans="1:26" ht="15.75" customHeight="1" x14ac:dyDescent="0.2">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spans="1:26" ht="15.75" customHeight="1" x14ac:dyDescent="0.2">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spans="1:26" ht="15.75" customHeight="1" x14ac:dyDescent="0.2">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spans="1:26" ht="15.75" customHeight="1" x14ac:dyDescent="0.2">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spans="1:26" ht="15.75" customHeight="1" x14ac:dyDescent="0.2">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spans="1:26" ht="15.75" customHeight="1" x14ac:dyDescent="0.2">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spans="1:26" ht="15.75" customHeight="1" x14ac:dyDescent="0.2">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spans="1:26" ht="15.75" customHeight="1" x14ac:dyDescent="0.2">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spans="1:26" ht="15.75" customHeight="1" x14ac:dyDescent="0.2">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spans="1:26" ht="15.75" customHeight="1" x14ac:dyDescent="0.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spans="1:26" ht="15.75" customHeight="1" x14ac:dyDescent="0.2">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spans="1:26" ht="15.75" customHeight="1" x14ac:dyDescent="0.2">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spans="1:26" ht="15.75" customHeight="1" x14ac:dyDescent="0.2">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spans="1:26" ht="15.75" customHeight="1" x14ac:dyDescent="0.2">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spans="1:26" ht="15.75" customHeight="1" x14ac:dyDescent="0.2">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spans="1:26" ht="15.75" customHeight="1" x14ac:dyDescent="0.2">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spans="1:26" ht="15.75" customHeight="1" x14ac:dyDescent="0.2">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spans="1:26" ht="15.75" customHeight="1" x14ac:dyDescent="0.2">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spans="1:26" ht="15.75" customHeight="1" x14ac:dyDescent="0.2">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spans="1:26" ht="15.75" customHeight="1" x14ac:dyDescent="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spans="1:26" ht="15.75" customHeight="1" x14ac:dyDescent="0.2">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spans="1:26" ht="15.75" customHeight="1" x14ac:dyDescent="0.2">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spans="1:26" ht="15.75" customHeight="1" x14ac:dyDescent="0.2">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spans="1:26" ht="15.75" customHeight="1" x14ac:dyDescent="0.2">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spans="1:26" ht="15.75" customHeight="1" x14ac:dyDescent="0.2">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spans="1:26" ht="15.75" customHeight="1" x14ac:dyDescent="0.2">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spans="1:26" ht="15.75" customHeight="1" x14ac:dyDescent="0.2">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spans="1:26" ht="15.75" customHeight="1" x14ac:dyDescent="0.2">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spans="1:26" ht="15.75" customHeight="1" x14ac:dyDescent="0.2">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spans="1:26" ht="15.75" customHeight="1" x14ac:dyDescent="0.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spans="1:26" ht="15.75" customHeight="1" x14ac:dyDescent="0.2">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spans="1:26" ht="15.75" customHeight="1" x14ac:dyDescent="0.2">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spans="1:26" ht="15.75" customHeight="1" x14ac:dyDescent="0.2">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spans="1:26" ht="15.75" customHeight="1" x14ac:dyDescent="0.2">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spans="1:26" ht="15.75" customHeight="1" x14ac:dyDescent="0.2">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spans="1:26" ht="15.75" customHeight="1" x14ac:dyDescent="0.2">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spans="1:26" ht="15.75" customHeight="1" x14ac:dyDescent="0.2">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spans="1:26" ht="15.75" customHeight="1" x14ac:dyDescent="0.2">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spans="1:26" ht="15.75" customHeight="1" x14ac:dyDescent="0.2">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spans="1:26" ht="15.75" customHeight="1" x14ac:dyDescent="0.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spans="1:26" ht="15.75" customHeight="1" x14ac:dyDescent="0.2">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spans="1:26" ht="15.75" customHeight="1" x14ac:dyDescent="0.2">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spans="1:26" ht="15.75" customHeight="1" x14ac:dyDescent="0.2">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spans="1:26" ht="15.75" customHeight="1" x14ac:dyDescent="0.2">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spans="1:26" ht="15.75" customHeight="1" x14ac:dyDescent="0.2">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spans="1:26" ht="15.75" customHeight="1" x14ac:dyDescent="0.2">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spans="1:26" ht="15.75" customHeight="1" x14ac:dyDescent="0.2">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spans="1:26" ht="15.75" customHeight="1" x14ac:dyDescent="0.2">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spans="1:26" ht="15.75" customHeight="1" x14ac:dyDescent="0.2">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spans="1:26" ht="15.75" customHeight="1" x14ac:dyDescent="0.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spans="1:26" ht="15.75" customHeight="1" x14ac:dyDescent="0.2">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spans="1:26" ht="15.75" customHeight="1" x14ac:dyDescent="0.2">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spans="1:26" ht="15.75" customHeight="1" x14ac:dyDescent="0.2">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spans="1:26" ht="15.75" customHeight="1" x14ac:dyDescent="0.2">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spans="1:26" ht="15.75" customHeight="1" x14ac:dyDescent="0.2">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spans="1:26" ht="15.75" customHeight="1" x14ac:dyDescent="0.2">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spans="1:26" ht="15.75" customHeight="1" x14ac:dyDescent="0.2">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spans="1:26" ht="15.75" customHeight="1" x14ac:dyDescent="0.2">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spans="1:26" ht="15.75" customHeight="1" x14ac:dyDescent="0.2">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spans="1:26" ht="15.75" customHeight="1" x14ac:dyDescent="0.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spans="1:26" ht="15.75" customHeight="1" x14ac:dyDescent="0.2">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spans="1:26" ht="15.75" customHeight="1" x14ac:dyDescent="0.2">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spans="1:26" ht="15.75" customHeight="1" x14ac:dyDescent="0.2">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spans="1:26" ht="15.75" customHeight="1" x14ac:dyDescent="0.2">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spans="1:26" ht="15.75" customHeight="1" x14ac:dyDescent="0.2">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spans="1:26" ht="15.75" customHeight="1" x14ac:dyDescent="0.2">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spans="1:26" ht="15.75" customHeight="1" x14ac:dyDescent="0.2">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spans="1:26" ht="15.75" customHeight="1" x14ac:dyDescent="0.2">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spans="1:26" ht="15.75" customHeight="1" x14ac:dyDescent="0.2">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spans="1:26" ht="15.75" customHeight="1" x14ac:dyDescent="0.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spans="1:26" ht="15.75" customHeight="1" x14ac:dyDescent="0.2">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spans="1:26" ht="15.75" customHeight="1" x14ac:dyDescent="0.2">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spans="1:26" ht="15.75" customHeight="1" x14ac:dyDescent="0.2">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spans="1:26" ht="15.75" customHeight="1" x14ac:dyDescent="0.2">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spans="1:26" ht="15.75" customHeight="1" x14ac:dyDescent="0.2">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spans="1:26" ht="15.75" customHeight="1" x14ac:dyDescent="0.2">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spans="1:26" ht="15.75" customHeight="1" x14ac:dyDescent="0.2">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spans="1:26" ht="15.75" customHeight="1" x14ac:dyDescent="0.2">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spans="1:26" ht="15.75" customHeight="1" x14ac:dyDescent="0.2">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spans="1:26" ht="15.75" customHeight="1" x14ac:dyDescent="0.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spans="1:26" ht="15.75" customHeight="1" x14ac:dyDescent="0.2">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spans="1:26" ht="15.75" customHeight="1" x14ac:dyDescent="0.2">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spans="1:26" ht="15.75" customHeight="1" x14ac:dyDescent="0.2">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spans="1:26" ht="15.75" customHeight="1" x14ac:dyDescent="0.2">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spans="1:26" ht="15.75" customHeight="1" x14ac:dyDescent="0.2">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spans="1:26" ht="15.75" customHeight="1" x14ac:dyDescent="0.2">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spans="1:26" ht="15.75" customHeight="1" x14ac:dyDescent="0.2">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spans="1:26" ht="15.75" customHeight="1" x14ac:dyDescent="0.2">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spans="1:26" ht="15.75" customHeight="1" x14ac:dyDescent="0.2">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spans="1:26" ht="15.75" customHeight="1" x14ac:dyDescent="0.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spans="1:26" ht="15.75" customHeight="1" x14ac:dyDescent="0.2">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spans="1:26" ht="15.75" customHeight="1" x14ac:dyDescent="0.2">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spans="1:26" ht="15.75" customHeight="1" x14ac:dyDescent="0.2">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spans="1:26" ht="15.75" customHeight="1" x14ac:dyDescent="0.2">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spans="1:26" ht="15.75" customHeight="1" x14ac:dyDescent="0.2">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spans="1:26" ht="15.75" customHeight="1" x14ac:dyDescent="0.2">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spans="1:26" ht="15.75" customHeight="1" x14ac:dyDescent="0.2">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spans="1:26" ht="15.75" customHeight="1" x14ac:dyDescent="0.2">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spans="1:26" ht="15.75" customHeight="1" x14ac:dyDescent="0.2">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spans="1:26" ht="15.75" customHeight="1" x14ac:dyDescent="0.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spans="1:26" ht="15.75" customHeight="1" x14ac:dyDescent="0.2">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spans="1:26" ht="15.75" customHeight="1" x14ac:dyDescent="0.2">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spans="1:26" ht="15.75" customHeight="1" x14ac:dyDescent="0.2">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spans="1:26" ht="15.75" customHeight="1" x14ac:dyDescent="0.2">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spans="1:26" ht="15.75" customHeight="1" x14ac:dyDescent="0.2">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spans="1:26" ht="15.75" customHeight="1" x14ac:dyDescent="0.2">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spans="1:26" ht="15.75" customHeight="1" x14ac:dyDescent="0.2">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spans="1:26" ht="15.75" customHeight="1" x14ac:dyDescent="0.2">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spans="1:26" ht="15.75" customHeight="1" x14ac:dyDescent="0.2">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spans="1:26" ht="15.75" customHeight="1" x14ac:dyDescent="0.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spans="1:26" ht="15.75" customHeight="1" x14ac:dyDescent="0.2">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spans="1:26" ht="15.75" customHeight="1" x14ac:dyDescent="0.2">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spans="1:26" ht="15.75" customHeight="1" x14ac:dyDescent="0.2">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spans="1:26" ht="15.75" customHeight="1" x14ac:dyDescent="0.2">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spans="1:26" ht="15.75" customHeight="1" x14ac:dyDescent="0.2">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spans="1:26" ht="15.75" customHeight="1" x14ac:dyDescent="0.2">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spans="1:26" ht="15.75" customHeight="1" x14ac:dyDescent="0.2">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spans="1:26" ht="15.75" customHeight="1" x14ac:dyDescent="0.2">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spans="1:26" ht="15.75" customHeight="1" x14ac:dyDescent="0.2">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spans="1:26" ht="15.75" customHeight="1" x14ac:dyDescent="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spans="1:26" ht="15.75" customHeight="1" x14ac:dyDescent="0.2">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spans="1:26" ht="15.75" customHeight="1" x14ac:dyDescent="0.2">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spans="1:26" ht="15.75" customHeight="1" x14ac:dyDescent="0.2">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spans="1:26" ht="15.75" customHeight="1" x14ac:dyDescent="0.2">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spans="1:26" ht="15.75" customHeight="1" x14ac:dyDescent="0.2">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spans="1:26" ht="15.75" customHeight="1" x14ac:dyDescent="0.2">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spans="1:26" ht="15.75" customHeight="1" x14ac:dyDescent="0.2">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spans="1:26" ht="15.75" customHeight="1" x14ac:dyDescent="0.2">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spans="1:26" ht="15.75" customHeight="1" x14ac:dyDescent="0.2">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spans="1:26" ht="15.75" customHeight="1" x14ac:dyDescent="0.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spans="1:26" ht="15.75" customHeight="1" x14ac:dyDescent="0.2">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spans="1:26" ht="15.75" customHeight="1" x14ac:dyDescent="0.2">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spans="1:26" ht="15.75" customHeight="1" x14ac:dyDescent="0.2">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spans="1:26" ht="15.75" customHeight="1" x14ac:dyDescent="0.2">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spans="1:26" ht="15.75" customHeight="1" x14ac:dyDescent="0.2">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spans="1:26" ht="15.75" customHeight="1" x14ac:dyDescent="0.2">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spans="1:26" ht="15.75" customHeight="1" x14ac:dyDescent="0.2">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spans="1:26" ht="15.75" customHeight="1" x14ac:dyDescent="0.2">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spans="1:26" ht="15.75" customHeight="1" x14ac:dyDescent="0.2">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spans="1:26" ht="15.75" customHeight="1" x14ac:dyDescent="0.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spans="1:26" ht="15.75" customHeight="1" x14ac:dyDescent="0.2">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spans="1:26" ht="15.75" customHeight="1" x14ac:dyDescent="0.2">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spans="1:26" ht="15.75" customHeight="1" x14ac:dyDescent="0.2">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spans="1:26" ht="15.75" customHeight="1" x14ac:dyDescent="0.2">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spans="1:26" ht="15.75" customHeight="1" x14ac:dyDescent="0.2">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spans="1:26" ht="15.75" customHeight="1" x14ac:dyDescent="0.2">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spans="1:26" ht="15.75" customHeight="1" x14ac:dyDescent="0.2">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spans="1:26" ht="15.75" customHeight="1" x14ac:dyDescent="0.2">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spans="1:26" ht="15.75" customHeight="1" x14ac:dyDescent="0.2">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spans="1:26" ht="15.75" customHeight="1" x14ac:dyDescent="0.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spans="1:26" ht="15.75" customHeight="1" x14ac:dyDescent="0.2">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spans="1:26" ht="15.75" customHeight="1" x14ac:dyDescent="0.2">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spans="1:26" ht="15.75" customHeight="1" x14ac:dyDescent="0.2">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spans="1:26" ht="15.75" customHeight="1" x14ac:dyDescent="0.2">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spans="1:26" ht="15.75" customHeight="1" x14ac:dyDescent="0.2">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spans="1:26" ht="15.75" customHeight="1" x14ac:dyDescent="0.2">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spans="1:26" ht="15.75" customHeight="1" x14ac:dyDescent="0.2">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spans="1:26" ht="15.75" customHeight="1" x14ac:dyDescent="0.2">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spans="1:26" ht="15.75" customHeight="1" x14ac:dyDescent="0.2">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spans="1:26" ht="15.75" customHeight="1" x14ac:dyDescent="0.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spans="1:26" ht="15.75" customHeight="1" x14ac:dyDescent="0.2">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spans="1:26" ht="15.75" customHeight="1" x14ac:dyDescent="0.2">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spans="1:26" ht="15.75" customHeight="1" x14ac:dyDescent="0.2">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spans="1:26" ht="15.75" customHeight="1" x14ac:dyDescent="0.2">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spans="1:26" ht="15.75" customHeight="1" x14ac:dyDescent="0.2">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spans="1:26" ht="15.75" customHeight="1" x14ac:dyDescent="0.2">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spans="1:26" ht="15.75" customHeight="1" x14ac:dyDescent="0.2">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spans="1:26" ht="15.75" customHeight="1" x14ac:dyDescent="0.2">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spans="1:26" ht="15.75" customHeight="1" x14ac:dyDescent="0.2">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spans="1:26" ht="15.75" customHeight="1" x14ac:dyDescent="0.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spans="1:26" ht="15.75" customHeight="1" x14ac:dyDescent="0.2">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spans="1:26" ht="15.75" customHeight="1" x14ac:dyDescent="0.2">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spans="1:26" ht="15.75" customHeight="1" x14ac:dyDescent="0.2">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spans="1:26" ht="15.75" customHeight="1" x14ac:dyDescent="0.2">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spans="1:26" ht="15.75" customHeight="1" x14ac:dyDescent="0.2">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spans="1:26" ht="15.75" customHeight="1" x14ac:dyDescent="0.2">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spans="1:26" ht="15.75" customHeight="1" x14ac:dyDescent="0.2">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spans="1:26" ht="15.75" customHeight="1" x14ac:dyDescent="0.2">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spans="1:26" ht="15.75" customHeight="1" x14ac:dyDescent="0.2">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spans="1:26" ht="15.75" customHeight="1" x14ac:dyDescent="0.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spans="1:26" ht="15.75" customHeight="1" x14ac:dyDescent="0.2">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spans="1:26" ht="15.75" customHeight="1" x14ac:dyDescent="0.2">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spans="1:26" ht="15.75" customHeight="1" x14ac:dyDescent="0.2">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spans="1:26" ht="15.75" customHeight="1" x14ac:dyDescent="0.2">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spans="1:26" ht="15.75" customHeight="1" x14ac:dyDescent="0.2">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spans="1:26" ht="15.75" customHeight="1" x14ac:dyDescent="0.2">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spans="1:26" ht="15.75" customHeight="1" x14ac:dyDescent="0.2">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spans="1:26" ht="15.75" customHeight="1" x14ac:dyDescent="0.2">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spans="1:26" ht="15.75" customHeight="1" x14ac:dyDescent="0.2">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spans="1:26" ht="15.75" customHeight="1" x14ac:dyDescent="0.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spans="1:26" ht="15.75" customHeight="1" x14ac:dyDescent="0.2">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spans="1:26" ht="15.75" customHeight="1" x14ac:dyDescent="0.2">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spans="1:26" ht="15.75" customHeight="1" x14ac:dyDescent="0.2">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spans="1:26" ht="15.75" customHeight="1" x14ac:dyDescent="0.2">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spans="1:26" ht="15.75" customHeight="1" x14ac:dyDescent="0.2">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spans="1:26" ht="15.75" customHeight="1" x14ac:dyDescent="0.2">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spans="1:26" ht="15.75" customHeight="1" x14ac:dyDescent="0.2">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spans="1:26" ht="15.75" customHeight="1" x14ac:dyDescent="0.2">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spans="1:26" ht="15.75" customHeight="1" x14ac:dyDescent="0.2">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spans="1:26" ht="15.75" customHeight="1" x14ac:dyDescent="0.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spans="1:26" ht="15.75" customHeight="1" x14ac:dyDescent="0.2">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spans="1:26" ht="15.75" customHeight="1" x14ac:dyDescent="0.2">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spans="1:26" ht="15.75" customHeight="1" x14ac:dyDescent="0.2">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spans="1:26" ht="15.75" customHeight="1" x14ac:dyDescent="0.2">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spans="1:26" ht="15.75" customHeight="1" x14ac:dyDescent="0.2">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spans="1:26" ht="15.75" customHeight="1" x14ac:dyDescent="0.2">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spans="1:26" ht="15.75" customHeight="1" x14ac:dyDescent="0.2">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spans="1:26" ht="15.75" customHeight="1" x14ac:dyDescent="0.2">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spans="1:26" ht="15.75" customHeight="1" x14ac:dyDescent="0.2">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spans="1:26" ht="15.75" customHeight="1" x14ac:dyDescent="0.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spans="1:26" ht="15.75" customHeight="1" x14ac:dyDescent="0.2">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spans="1:26" ht="15.75" customHeight="1" x14ac:dyDescent="0.2">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spans="1:26" ht="15.75" customHeight="1" x14ac:dyDescent="0.2">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spans="1:26" ht="15.75" customHeight="1" x14ac:dyDescent="0.2">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spans="1:26" ht="15.75" customHeight="1" x14ac:dyDescent="0.2">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spans="1:26" ht="15.75" customHeight="1" x14ac:dyDescent="0.2">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spans="1:26" ht="15.75" customHeight="1" x14ac:dyDescent="0.2">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spans="1:26" ht="15.75" customHeight="1" x14ac:dyDescent="0.2">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spans="1:26" ht="15.75" customHeight="1" x14ac:dyDescent="0.2">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spans="1:26" ht="15.75" customHeight="1" x14ac:dyDescent="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spans="1:26" ht="15.75" customHeight="1" x14ac:dyDescent="0.2">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spans="1:26" ht="15.75" customHeight="1" x14ac:dyDescent="0.2">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spans="1:26" ht="15.75" customHeight="1" x14ac:dyDescent="0.2">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spans="1:26" ht="15.75" customHeight="1" x14ac:dyDescent="0.2">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spans="1:26" ht="15.75" customHeight="1" x14ac:dyDescent="0.2">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spans="1:26" ht="15.75" customHeight="1" x14ac:dyDescent="0.2">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spans="1:26" ht="15.75" customHeight="1" x14ac:dyDescent="0.2">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spans="1:26" ht="15.75" customHeight="1" x14ac:dyDescent="0.2">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spans="1:26" ht="15.75" customHeight="1" x14ac:dyDescent="0.2">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spans="1:26" ht="15.75" customHeight="1" x14ac:dyDescent="0.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spans="1:26" ht="15.75" customHeight="1" x14ac:dyDescent="0.2">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spans="1:26" ht="15.75" customHeight="1" x14ac:dyDescent="0.2">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spans="1:26" ht="15.75" customHeight="1" x14ac:dyDescent="0.2">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spans="1:26" ht="15.75" customHeight="1" x14ac:dyDescent="0.2">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spans="1:26" ht="15.75" customHeight="1" x14ac:dyDescent="0.2">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spans="1:26" ht="15.75" customHeight="1" x14ac:dyDescent="0.2">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spans="1:26" ht="15.75" customHeight="1" x14ac:dyDescent="0.2">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spans="1:26" ht="15.75" customHeight="1" x14ac:dyDescent="0.2">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spans="1:26" ht="15.75" customHeight="1" x14ac:dyDescent="0.2">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spans="1:26" ht="15.75" customHeight="1" x14ac:dyDescent="0.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spans="1:26" ht="15.75" customHeight="1" x14ac:dyDescent="0.2">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spans="1:26" ht="15.75" customHeight="1" x14ac:dyDescent="0.2">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spans="1:26" ht="15.75" customHeight="1" x14ac:dyDescent="0.2">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spans="1:26" ht="15.75" customHeight="1" x14ac:dyDescent="0.2">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spans="1:26" ht="15.75" customHeight="1" x14ac:dyDescent="0.2">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spans="1:26" ht="15.75" customHeight="1" x14ac:dyDescent="0.2">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spans="1:26" ht="15.75" customHeight="1" x14ac:dyDescent="0.2">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spans="1:26" ht="15.75" customHeight="1" x14ac:dyDescent="0.2">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spans="1:26" ht="15.75" customHeight="1" x14ac:dyDescent="0.2">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spans="1:26" ht="15.75" customHeight="1" x14ac:dyDescent="0.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spans="1:26" ht="15.75" customHeight="1" x14ac:dyDescent="0.2">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spans="1:26" ht="15.75" customHeight="1" x14ac:dyDescent="0.2">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spans="1:26" ht="15.75" customHeight="1" x14ac:dyDescent="0.2">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spans="1:26" ht="15.75" customHeight="1" x14ac:dyDescent="0.2">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spans="1:26" ht="15.75" customHeight="1" x14ac:dyDescent="0.2">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spans="1:26" ht="15.75" customHeight="1" x14ac:dyDescent="0.2">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spans="1:26" ht="15.75" customHeight="1" x14ac:dyDescent="0.2">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spans="1:26" ht="15.75" customHeight="1" x14ac:dyDescent="0.2">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spans="1:26" ht="15.75" customHeight="1" x14ac:dyDescent="0.2">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spans="1:26" ht="15.75" customHeight="1" x14ac:dyDescent="0.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spans="1:26" ht="15.75" customHeight="1" x14ac:dyDescent="0.2">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spans="1:26" ht="15.75" customHeight="1" x14ac:dyDescent="0.2">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spans="1:26" ht="15.75" customHeight="1" x14ac:dyDescent="0.2">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spans="1:26" ht="15.75" customHeight="1" x14ac:dyDescent="0.2">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spans="1:26" ht="15.75" customHeight="1" x14ac:dyDescent="0.2">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spans="1:26" ht="15.75" customHeight="1" x14ac:dyDescent="0.2">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spans="1:26" ht="15.75" customHeight="1" x14ac:dyDescent="0.2">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spans="1:26" ht="15.75" customHeight="1" x14ac:dyDescent="0.2">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spans="1:26" ht="15.75" customHeight="1" x14ac:dyDescent="0.2">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spans="1:26" ht="15.75" customHeight="1" x14ac:dyDescent="0.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spans="1:26" ht="15.75" customHeight="1" x14ac:dyDescent="0.2">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spans="1:26" ht="15.75" customHeight="1" x14ac:dyDescent="0.2">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spans="1:26" ht="15.75" customHeight="1" x14ac:dyDescent="0.2">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spans="1:26" ht="15.75" customHeight="1" x14ac:dyDescent="0.2">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spans="1:26" ht="15.75" customHeight="1" x14ac:dyDescent="0.2">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spans="1:26" ht="15.75" customHeight="1" x14ac:dyDescent="0.2">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spans="1:26" ht="15.75" customHeight="1" x14ac:dyDescent="0.2">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spans="1:26" ht="15.75" customHeight="1" x14ac:dyDescent="0.2">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spans="1:26" ht="15.75" customHeight="1" x14ac:dyDescent="0.2">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spans="1:26" ht="15.75" customHeight="1" x14ac:dyDescent="0.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spans="1:26" ht="15.75" customHeight="1" x14ac:dyDescent="0.2">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spans="1:26" ht="15.75" customHeight="1" x14ac:dyDescent="0.2">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spans="1:26" ht="15.75" customHeight="1" x14ac:dyDescent="0.2">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spans="1:26" ht="15.75" customHeight="1" x14ac:dyDescent="0.2">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spans="1:26" ht="15.75" customHeight="1" x14ac:dyDescent="0.2">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spans="1:26" ht="15.75" customHeight="1" x14ac:dyDescent="0.2">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spans="1:26" ht="15.75" customHeight="1" x14ac:dyDescent="0.2">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spans="1:26" ht="15.75" customHeight="1" x14ac:dyDescent="0.2">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spans="1:26" ht="15.75" customHeight="1" x14ac:dyDescent="0.2">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spans="1:26" ht="15.75" customHeight="1" x14ac:dyDescent="0.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spans="1:26" ht="15.75" customHeight="1" x14ac:dyDescent="0.2">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spans="1:26" ht="15.75" customHeight="1" x14ac:dyDescent="0.2">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spans="1:26" ht="15.75" customHeight="1" x14ac:dyDescent="0.2">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spans="1:26" ht="15.75" customHeight="1" x14ac:dyDescent="0.2">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spans="1:26" ht="15.75" customHeight="1" x14ac:dyDescent="0.2">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spans="1:26" ht="15.75" customHeight="1" x14ac:dyDescent="0.2">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spans="1:26" ht="15.75" customHeight="1" x14ac:dyDescent="0.2">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spans="1:26" ht="15.75" customHeight="1" x14ac:dyDescent="0.2">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spans="1:26" ht="15.75" customHeight="1" x14ac:dyDescent="0.2">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spans="1:26" ht="15.75" customHeight="1" x14ac:dyDescent="0.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spans="1:26" ht="15.75" customHeight="1" x14ac:dyDescent="0.2">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spans="1:26" ht="15.75" customHeight="1" x14ac:dyDescent="0.2">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spans="1:26" ht="15.75" customHeight="1" x14ac:dyDescent="0.2">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spans="1:26" ht="15.75" customHeight="1" x14ac:dyDescent="0.2">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spans="1:26" ht="15.75" customHeight="1" x14ac:dyDescent="0.2">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spans="1:26" ht="15.75" customHeight="1" x14ac:dyDescent="0.2">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spans="1:26" ht="15.75" customHeight="1" x14ac:dyDescent="0.2">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spans="1:26" ht="15.75" customHeight="1" x14ac:dyDescent="0.2">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spans="1:26" ht="15.75" customHeight="1" x14ac:dyDescent="0.2">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spans="1:26" ht="15.75" customHeight="1" x14ac:dyDescent="0.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spans="1:26" ht="15.75" customHeight="1" x14ac:dyDescent="0.2">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spans="1:26" ht="15.75" customHeight="1" x14ac:dyDescent="0.2">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spans="1:26" ht="15.75" customHeight="1" x14ac:dyDescent="0.2">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spans="1:26" ht="15.75" customHeight="1" x14ac:dyDescent="0.2">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spans="1:26" ht="15.75" customHeight="1" x14ac:dyDescent="0.2">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spans="1:26" ht="15.75" customHeight="1" x14ac:dyDescent="0.2">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spans="1:26" ht="15.75" customHeight="1" x14ac:dyDescent="0.2">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spans="1:26" ht="15.75" customHeight="1" x14ac:dyDescent="0.2">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spans="1:26" ht="15.75" customHeight="1" x14ac:dyDescent="0.2">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spans="1:26" ht="15.75" customHeight="1" x14ac:dyDescent="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spans="1:26" ht="15.75" customHeight="1" x14ac:dyDescent="0.2">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spans="1:26" ht="15.75" customHeight="1" x14ac:dyDescent="0.2">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spans="1:26" ht="15.75" customHeight="1" x14ac:dyDescent="0.2">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spans="1:26" ht="15.75" customHeight="1" x14ac:dyDescent="0.2">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spans="1:26" ht="15.75" customHeight="1" x14ac:dyDescent="0.2">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spans="1:26" ht="15.75" customHeight="1" x14ac:dyDescent="0.2">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spans="1:26" ht="15.75" customHeight="1" x14ac:dyDescent="0.2">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spans="1:26" ht="15.75" customHeight="1" x14ac:dyDescent="0.2">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spans="1:26" ht="15.75" customHeight="1" x14ac:dyDescent="0.2">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spans="1:26" ht="15.75" customHeight="1" x14ac:dyDescent="0.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spans="1:26" ht="15.75" customHeight="1" x14ac:dyDescent="0.2">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spans="1:26" ht="15.75" customHeight="1" x14ac:dyDescent="0.2">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spans="1:26" ht="15.75" customHeight="1" x14ac:dyDescent="0.2">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spans="1:26" ht="15.75" customHeight="1" x14ac:dyDescent="0.2">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spans="1:26" ht="15.75" customHeight="1" x14ac:dyDescent="0.2">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spans="1:26" ht="15.75" customHeight="1" x14ac:dyDescent="0.2">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spans="1:26" ht="15.75" customHeight="1" x14ac:dyDescent="0.2">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spans="1:26" ht="15.75" customHeight="1" x14ac:dyDescent="0.2">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spans="1:26" ht="15.75" customHeight="1" x14ac:dyDescent="0.2">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spans="1:26" ht="15.75" customHeight="1" x14ac:dyDescent="0.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spans="1:26" ht="15.75" customHeight="1" x14ac:dyDescent="0.2">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spans="1:26" ht="15.75" customHeight="1" x14ac:dyDescent="0.2">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spans="1:26" ht="15.75" customHeight="1" x14ac:dyDescent="0.2">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spans="1:26" ht="15.75" customHeight="1" x14ac:dyDescent="0.2">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spans="1:26" ht="15.75" customHeight="1" x14ac:dyDescent="0.2">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spans="1:26" ht="15.75" customHeight="1" x14ac:dyDescent="0.2">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spans="1:26" ht="15.75" customHeight="1" x14ac:dyDescent="0.2">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spans="1:26" ht="15.75" customHeight="1" x14ac:dyDescent="0.2">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spans="1:26" ht="15.75" customHeight="1" x14ac:dyDescent="0.2">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spans="1:26" ht="15.75" customHeight="1" x14ac:dyDescent="0.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spans="1:26" ht="15.75" customHeight="1" x14ac:dyDescent="0.2">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spans="1:26" ht="15.75" customHeight="1" x14ac:dyDescent="0.2">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spans="1:26" ht="15.75" customHeight="1" x14ac:dyDescent="0.2">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spans="1:26" ht="15.75" customHeight="1" x14ac:dyDescent="0.2">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spans="1:26" ht="15.75" customHeight="1" x14ac:dyDescent="0.2">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spans="1:26" ht="15.75" customHeight="1" x14ac:dyDescent="0.2">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spans="1:26" ht="15.75" customHeight="1" x14ac:dyDescent="0.2">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spans="1:26" ht="15.75" customHeight="1" x14ac:dyDescent="0.2">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spans="1:26" ht="15.75" customHeight="1" x14ac:dyDescent="0.2">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spans="1:26" ht="15.75" customHeight="1" x14ac:dyDescent="0.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spans="1:26" ht="15.75" customHeight="1" x14ac:dyDescent="0.2">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spans="1:26" ht="15.75" customHeight="1" x14ac:dyDescent="0.2">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spans="1:26" ht="15.75" customHeight="1" x14ac:dyDescent="0.2">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spans="1:26" ht="15.75" customHeight="1" x14ac:dyDescent="0.2">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spans="1:26" ht="15.75" customHeight="1" x14ac:dyDescent="0.2">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spans="1:26" ht="15.75" customHeight="1" x14ac:dyDescent="0.2">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spans="1:26" ht="15.75" customHeight="1" x14ac:dyDescent="0.2">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spans="1:26" ht="15.75" customHeight="1" x14ac:dyDescent="0.2">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spans="1:26" ht="15.75" customHeight="1" x14ac:dyDescent="0.2">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spans="1:26" ht="15.75" customHeight="1" x14ac:dyDescent="0.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spans="1:26" ht="15.75" customHeight="1" x14ac:dyDescent="0.2">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spans="1:26" ht="15.75" customHeight="1" x14ac:dyDescent="0.2">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spans="1:26" ht="15.75" customHeight="1" x14ac:dyDescent="0.2">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spans="1:26" ht="15.75" customHeight="1" x14ac:dyDescent="0.2">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spans="1:26" ht="15.75" customHeight="1" x14ac:dyDescent="0.2">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spans="1:26" ht="15.75" customHeight="1" x14ac:dyDescent="0.2">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spans="1:26" ht="15.75" customHeight="1" x14ac:dyDescent="0.2">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spans="1:26" ht="15.75" customHeight="1" x14ac:dyDescent="0.2">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spans="1:26" ht="15.75" customHeight="1" x14ac:dyDescent="0.2">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spans="1:26" ht="15.75" customHeight="1" x14ac:dyDescent="0.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spans="1:26" ht="15.75" customHeight="1" x14ac:dyDescent="0.2">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spans="1:26" ht="15.75" customHeight="1" x14ac:dyDescent="0.2">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spans="1:26" ht="15.75" customHeight="1" x14ac:dyDescent="0.2">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spans="1:26" ht="15.75" customHeight="1" x14ac:dyDescent="0.2">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spans="1:26" ht="15.75" customHeight="1" x14ac:dyDescent="0.2">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spans="1:26" ht="15.75" customHeight="1" x14ac:dyDescent="0.2">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spans="1:26" ht="15.75" customHeight="1" x14ac:dyDescent="0.2">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spans="1:26" ht="15.75" customHeight="1" x14ac:dyDescent="0.2">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spans="1:26" ht="15.75" customHeight="1" x14ac:dyDescent="0.2">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spans="1:26" ht="15.75" customHeight="1" x14ac:dyDescent="0.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spans="1:26" ht="15.75" customHeight="1" x14ac:dyDescent="0.2">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spans="1:26" ht="15.75" customHeight="1" x14ac:dyDescent="0.2">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spans="1:26" ht="15.75" customHeight="1" x14ac:dyDescent="0.2">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spans="1:26" ht="15.75" customHeight="1" x14ac:dyDescent="0.2">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spans="1:26" ht="15.75" customHeight="1" x14ac:dyDescent="0.2">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spans="1:26" ht="15.75" customHeight="1" x14ac:dyDescent="0.2">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spans="1:26" ht="15.75" customHeight="1" x14ac:dyDescent="0.2">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spans="1:26" ht="15.75" customHeight="1" x14ac:dyDescent="0.2">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spans="1:26" ht="15.75" customHeight="1" x14ac:dyDescent="0.2">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spans="1:26" ht="15.75" customHeight="1" x14ac:dyDescent="0.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spans="1:26" ht="15.75" customHeight="1" x14ac:dyDescent="0.2">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spans="1:26" ht="15.75" customHeight="1" x14ac:dyDescent="0.2">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spans="1:26" ht="15.75" customHeight="1" x14ac:dyDescent="0.2">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spans="1:26" ht="15.75" customHeight="1" x14ac:dyDescent="0.2">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spans="1:26" ht="15.75" customHeight="1" x14ac:dyDescent="0.2">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spans="1:26" ht="15.75" customHeight="1" x14ac:dyDescent="0.2">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spans="1:26" ht="15.75" customHeight="1" x14ac:dyDescent="0.2">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spans="1:26" ht="15.75" customHeight="1" x14ac:dyDescent="0.2">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spans="1:26" ht="15.75" customHeight="1" x14ac:dyDescent="0.2">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spans="1:26" ht="15.75" customHeight="1" x14ac:dyDescent="0.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spans="1:26" ht="15.75" customHeight="1" x14ac:dyDescent="0.2">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spans="1:26" ht="15.75" customHeight="1" x14ac:dyDescent="0.2">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spans="1:26" ht="15.75" customHeight="1" x14ac:dyDescent="0.2">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spans="1:26" ht="15.75" customHeight="1" x14ac:dyDescent="0.2">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spans="1:26" ht="15.75" customHeight="1" x14ac:dyDescent="0.2">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spans="1:26" ht="15.75" customHeight="1" x14ac:dyDescent="0.2">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spans="1:26" ht="15.75" customHeight="1" x14ac:dyDescent="0.2">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spans="1:26" ht="15.75" customHeight="1" x14ac:dyDescent="0.2">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spans="1:26" ht="15.75" customHeight="1" x14ac:dyDescent="0.2">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spans="1:26" ht="15.75" customHeight="1" x14ac:dyDescent="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spans="1:26" ht="15.75" customHeight="1" x14ac:dyDescent="0.2">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spans="1:26" ht="15.75" customHeight="1" x14ac:dyDescent="0.2">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spans="1:26" ht="15.75" customHeight="1" x14ac:dyDescent="0.2">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spans="1:26" ht="15.75" customHeight="1" x14ac:dyDescent="0.2">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spans="1:26" ht="15.75" customHeight="1" x14ac:dyDescent="0.2">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spans="1:26" ht="15.75" customHeight="1" x14ac:dyDescent="0.2">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spans="1:26" ht="15.75" customHeight="1" x14ac:dyDescent="0.2">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spans="1:26" ht="15.75" customHeight="1" x14ac:dyDescent="0.2">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spans="1:26" ht="15.75" customHeight="1" x14ac:dyDescent="0.2">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spans="1:26" ht="15.75" customHeight="1" x14ac:dyDescent="0.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spans="1:26" ht="15.75" customHeight="1" x14ac:dyDescent="0.2">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spans="1:26" ht="15.75" customHeight="1" x14ac:dyDescent="0.2">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spans="1:26" ht="15.75" customHeight="1" x14ac:dyDescent="0.2">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spans="1:26" ht="15.75" customHeight="1" x14ac:dyDescent="0.2">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spans="1:26" ht="15.75" customHeight="1" x14ac:dyDescent="0.2">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spans="1:26" ht="15.75" customHeight="1" x14ac:dyDescent="0.2">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spans="1:26" ht="15.75" customHeight="1" x14ac:dyDescent="0.2">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spans="1:26" ht="15.75" customHeight="1" x14ac:dyDescent="0.2">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spans="1:26" ht="15.75" customHeight="1" x14ac:dyDescent="0.2">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spans="1:26" ht="15.75" customHeight="1" x14ac:dyDescent="0.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spans="1:26" ht="15.75" customHeight="1" x14ac:dyDescent="0.2">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spans="1:26" ht="15.75" customHeight="1" x14ac:dyDescent="0.2">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spans="1:26" ht="15.75" customHeight="1" x14ac:dyDescent="0.2">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spans="1:26" ht="15.75" customHeight="1" x14ac:dyDescent="0.2">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spans="1:26" ht="15.75" customHeight="1" x14ac:dyDescent="0.2">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spans="1:26" ht="15.75" customHeight="1" x14ac:dyDescent="0.2">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spans="1:26" ht="15.75" customHeight="1" x14ac:dyDescent="0.2">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spans="1:26" ht="15.75" customHeight="1" x14ac:dyDescent="0.2">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spans="1:26" ht="15.75" customHeight="1" x14ac:dyDescent="0.2">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spans="1:26" ht="15.75" customHeight="1" x14ac:dyDescent="0.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spans="1:26" ht="15.75" customHeight="1" x14ac:dyDescent="0.2">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spans="1:26" ht="15.75" customHeight="1" x14ac:dyDescent="0.2">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spans="1:26" ht="15.75" customHeight="1" x14ac:dyDescent="0.2">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spans="1:26" ht="15.75" customHeight="1" x14ac:dyDescent="0.2">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spans="1:26" ht="15.75" customHeight="1" x14ac:dyDescent="0.2">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spans="1:26" ht="15.75" customHeight="1" x14ac:dyDescent="0.2">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spans="1:26" ht="15.75" customHeight="1" x14ac:dyDescent="0.2">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spans="1:26" ht="15.75" customHeight="1" x14ac:dyDescent="0.2">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spans="1:26" ht="15.75" customHeight="1" x14ac:dyDescent="0.2">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spans="1:26" ht="15.75" customHeight="1" x14ac:dyDescent="0.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spans="1:26" ht="15.75" customHeight="1" x14ac:dyDescent="0.2">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spans="1:26" ht="15.75" customHeight="1" x14ac:dyDescent="0.2">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spans="1:26" ht="15.75" customHeight="1" x14ac:dyDescent="0.2">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spans="1:26" ht="15.75" customHeight="1" x14ac:dyDescent="0.2">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spans="1:26" ht="15.75" customHeight="1" x14ac:dyDescent="0.2">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spans="1:26" ht="15.75" customHeight="1" x14ac:dyDescent="0.2">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spans="1:26" ht="15.75" customHeight="1" x14ac:dyDescent="0.2">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spans="1:26" ht="15.75" customHeight="1" x14ac:dyDescent="0.2">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spans="1:26" ht="15.75" customHeight="1" x14ac:dyDescent="0.2">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spans="1:26" ht="15.75" customHeight="1" x14ac:dyDescent="0.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spans="1:26" ht="15.75" customHeight="1" x14ac:dyDescent="0.2">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spans="1:26" ht="15.75" customHeight="1" x14ac:dyDescent="0.2">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spans="1:26" ht="15.75" customHeight="1" x14ac:dyDescent="0.2">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spans="1:26" ht="15.75" customHeight="1" x14ac:dyDescent="0.2">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spans="1:26" ht="15.75" customHeight="1" x14ac:dyDescent="0.2">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spans="1:26" ht="15.75" customHeight="1" x14ac:dyDescent="0.2">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spans="1:26" ht="15.75" customHeight="1" x14ac:dyDescent="0.2">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spans="1:26" ht="15.75" customHeight="1" x14ac:dyDescent="0.2">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spans="1:26" ht="15.75" customHeight="1" x14ac:dyDescent="0.2">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spans="1:26" ht="15.75" customHeight="1" x14ac:dyDescent="0.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spans="1:26" ht="15.75" customHeight="1" x14ac:dyDescent="0.2">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spans="1:26" ht="15.75" customHeight="1" x14ac:dyDescent="0.2">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spans="1:26" ht="15.75" customHeight="1" x14ac:dyDescent="0.2">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spans="1:26" ht="15.75" customHeight="1" x14ac:dyDescent="0.2">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spans="1:26" ht="15.75" customHeight="1" x14ac:dyDescent="0.2">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spans="1:26" ht="15.75" customHeight="1" x14ac:dyDescent="0.2">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spans="1:26" ht="15.75" customHeight="1" x14ac:dyDescent="0.2">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spans="1:26" ht="15.75" customHeight="1" x14ac:dyDescent="0.2">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spans="1:26" ht="15.75" customHeight="1" x14ac:dyDescent="0.2">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spans="1:26" ht="15.75" customHeight="1" x14ac:dyDescent="0.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spans="1:26" ht="15.75" customHeight="1" x14ac:dyDescent="0.2">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spans="1:26" ht="15.75" customHeight="1" x14ac:dyDescent="0.2">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spans="1:26" ht="15.75" customHeight="1" x14ac:dyDescent="0.2">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spans="1:26" ht="15.75" customHeight="1" x14ac:dyDescent="0.2">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spans="1:26" ht="15.75" customHeight="1" x14ac:dyDescent="0.2">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spans="1:26" ht="15.75" customHeight="1" x14ac:dyDescent="0.2">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spans="1:26" ht="15.75" customHeight="1" x14ac:dyDescent="0.2">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spans="1:26" ht="15.75" customHeight="1" x14ac:dyDescent="0.2">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spans="1:26" ht="15.75" customHeight="1" x14ac:dyDescent="0.2">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spans="1:26" ht="15.75" customHeight="1" x14ac:dyDescent="0.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spans="1:26" ht="15.75" customHeight="1" x14ac:dyDescent="0.2">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spans="1:26" ht="15.75" customHeight="1" x14ac:dyDescent="0.2">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spans="1:26" ht="15.75" customHeight="1" x14ac:dyDescent="0.2">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spans="1:26" ht="15.75" customHeight="1" x14ac:dyDescent="0.2">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spans="1:26" ht="15.75" customHeight="1" x14ac:dyDescent="0.2">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spans="1:26" ht="15.75" customHeight="1" x14ac:dyDescent="0.2">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spans="1:26" ht="15.75" customHeight="1" x14ac:dyDescent="0.2">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spans="1:26" ht="15.75" customHeight="1" x14ac:dyDescent="0.2">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spans="1:26" ht="15.75" customHeight="1" x14ac:dyDescent="0.2">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spans="1:26" ht="15.75" customHeight="1" x14ac:dyDescent="0.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spans="1:26" ht="15.75" customHeight="1" x14ac:dyDescent="0.2">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spans="1:26" ht="15.75" customHeight="1" x14ac:dyDescent="0.2">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spans="1:26" ht="15.75" customHeight="1" x14ac:dyDescent="0.2">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spans="1:26" ht="15.75" customHeight="1" x14ac:dyDescent="0.2">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spans="1:26" ht="15.75" customHeight="1" x14ac:dyDescent="0.2">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spans="1:26" ht="15.75" customHeight="1" x14ac:dyDescent="0.2">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spans="1:26" ht="15.75" customHeight="1" x14ac:dyDescent="0.2">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spans="1:26" ht="15.75" customHeight="1" x14ac:dyDescent="0.2">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spans="1:26" ht="15.75" customHeight="1" x14ac:dyDescent="0.2">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spans="1:26" ht="15.75" customHeight="1" x14ac:dyDescent="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spans="1:26" ht="15.75" customHeight="1" x14ac:dyDescent="0.2">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spans="1:26" ht="15.75" customHeight="1" x14ac:dyDescent="0.2">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spans="1:26" ht="15.75" customHeight="1" x14ac:dyDescent="0.2">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spans="1:26" ht="15.75" customHeight="1" x14ac:dyDescent="0.2">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spans="1:26" ht="15.75" customHeight="1" x14ac:dyDescent="0.2">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spans="1:26" ht="15.75" customHeight="1" x14ac:dyDescent="0.2">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spans="1:26" ht="15.75" customHeight="1" x14ac:dyDescent="0.2">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spans="1:26" ht="15.75" customHeight="1" x14ac:dyDescent="0.2">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spans="1:26" ht="15.75" customHeight="1" x14ac:dyDescent="0.2">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spans="1:26" ht="15.75" customHeight="1" x14ac:dyDescent="0.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spans="1:26" ht="15.75" customHeight="1" x14ac:dyDescent="0.2">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spans="1:26" ht="15.75" customHeight="1" x14ac:dyDescent="0.2">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spans="1:26" ht="15.75" customHeight="1" x14ac:dyDescent="0.2">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spans="1:26" ht="15.75" customHeight="1" x14ac:dyDescent="0.2">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spans="1:26" ht="15.75" customHeight="1" x14ac:dyDescent="0.2">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spans="1:26" ht="15.75" customHeight="1" x14ac:dyDescent="0.2">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spans="1:26" ht="15.75" customHeight="1" x14ac:dyDescent="0.2">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spans="1:26" ht="15.75" customHeight="1" x14ac:dyDescent="0.2">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spans="1:26" ht="15.75" customHeight="1" x14ac:dyDescent="0.2">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spans="1:26" ht="15.75" customHeight="1" x14ac:dyDescent="0.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spans="1:26" ht="15.75" customHeight="1" x14ac:dyDescent="0.2">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spans="1:26" ht="15.75" customHeight="1" x14ac:dyDescent="0.2">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spans="1:26" ht="15.75" customHeight="1" x14ac:dyDescent="0.2">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spans="1:26" ht="15.75" customHeight="1" x14ac:dyDescent="0.2">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spans="1:26" ht="15.75" customHeight="1" x14ac:dyDescent="0.2">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spans="1:26" ht="15.75" customHeight="1" x14ac:dyDescent="0.2">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spans="1:26" ht="15.75" customHeight="1" x14ac:dyDescent="0.2">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spans="1:26" ht="15.75" customHeight="1" x14ac:dyDescent="0.2">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spans="1:26" ht="15.75" customHeight="1" x14ac:dyDescent="0.2">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spans="1:26" ht="15.75" customHeight="1" x14ac:dyDescent="0.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spans="1:26" ht="15.75" customHeight="1" x14ac:dyDescent="0.2">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spans="1:26" ht="15.75" customHeight="1" x14ac:dyDescent="0.2">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spans="1:26" ht="15.75" customHeight="1" x14ac:dyDescent="0.2">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spans="1:26" ht="15.75" customHeight="1" x14ac:dyDescent="0.2">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spans="1:26" ht="15.75" customHeight="1" x14ac:dyDescent="0.2">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spans="1:26" ht="15.75" customHeight="1" x14ac:dyDescent="0.2">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spans="1:26" ht="15.75" customHeight="1" x14ac:dyDescent="0.2">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spans="1:26" ht="15.75" customHeight="1" x14ac:dyDescent="0.2">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spans="1:26" ht="15.75" customHeight="1" x14ac:dyDescent="0.2">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spans="1:26" ht="15.75" customHeight="1" x14ac:dyDescent="0.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spans="1:26" ht="15.75" customHeight="1" x14ac:dyDescent="0.2">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spans="1:26" ht="15.75" customHeight="1" x14ac:dyDescent="0.2">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spans="1:26" ht="15.75" customHeight="1" x14ac:dyDescent="0.2">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spans="1:26" ht="15.75" customHeight="1" x14ac:dyDescent="0.2">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spans="1:26" ht="15.75" customHeight="1" x14ac:dyDescent="0.2">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spans="1:26" ht="15.75" customHeight="1" x14ac:dyDescent="0.2">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spans="1:26" ht="15.75" customHeight="1" x14ac:dyDescent="0.2">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spans="1:26" ht="15.75" customHeight="1" x14ac:dyDescent="0.2">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spans="1:26" ht="15.75" customHeight="1" x14ac:dyDescent="0.2">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spans="1:26" ht="15.75" customHeight="1" x14ac:dyDescent="0.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spans="1:26" ht="15.75" customHeight="1" x14ac:dyDescent="0.2">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spans="1:26" ht="15.75" customHeight="1" x14ac:dyDescent="0.2">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spans="1:26" ht="15.75" customHeight="1" x14ac:dyDescent="0.2">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spans="1:26" ht="15.75" customHeight="1" x14ac:dyDescent="0.2">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spans="1:26" ht="15.75" customHeight="1" x14ac:dyDescent="0.2">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spans="1:26" ht="15.75" customHeight="1" x14ac:dyDescent="0.2">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spans="1:26" ht="15.75" customHeight="1" x14ac:dyDescent="0.2">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spans="1:26" ht="15.75" customHeight="1" x14ac:dyDescent="0.2">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spans="1:26" ht="15.75" customHeight="1" x14ac:dyDescent="0.2">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spans="1:26" ht="15.75" customHeight="1" x14ac:dyDescent="0.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spans="1:26" ht="15.75" customHeight="1" x14ac:dyDescent="0.2">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spans="1:26" ht="15.75" customHeight="1" x14ac:dyDescent="0.2">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spans="1:26" ht="15.75" customHeight="1" x14ac:dyDescent="0.2">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spans="1:26" ht="15.75" customHeight="1" x14ac:dyDescent="0.2">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spans="1:26" ht="15.75" customHeight="1" x14ac:dyDescent="0.2">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spans="1:26" ht="15.75" customHeight="1" x14ac:dyDescent="0.2">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spans="1:26" ht="15.75" customHeight="1" x14ac:dyDescent="0.2">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spans="1:26" ht="15.75" customHeight="1" x14ac:dyDescent="0.2">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spans="1:26" ht="15.75" customHeight="1" x14ac:dyDescent="0.2">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spans="1:26" ht="15.75" customHeight="1" x14ac:dyDescent="0.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spans="1:26" ht="15.75" customHeight="1" x14ac:dyDescent="0.2">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spans="1:26" ht="15.75" customHeight="1" x14ac:dyDescent="0.2">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spans="1:26" ht="15.75" customHeight="1" x14ac:dyDescent="0.2">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spans="1:26" ht="15.75" customHeight="1" x14ac:dyDescent="0.2">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spans="1:26" ht="15.75" customHeight="1" x14ac:dyDescent="0.2">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spans="1:26" ht="15.75" customHeight="1" x14ac:dyDescent="0.2">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spans="1:26" ht="15.75" customHeight="1" x14ac:dyDescent="0.2">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spans="1:26" ht="15.75" customHeight="1" x14ac:dyDescent="0.2">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spans="1:26" ht="15.75" customHeight="1" x14ac:dyDescent="0.2">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spans="1:26" ht="15.75" customHeight="1" x14ac:dyDescent="0.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spans="1:26" ht="15.75" customHeight="1" x14ac:dyDescent="0.2">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spans="1:26" ht="15.75" customHeight="1" x14ac:dyDescent="0.2">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spans="1:26" ht="15.75" customHeight="1" x14ac:dyDescent="0.2">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spans="1:26" ht="15.75" customHeight="1" x14ac:dyDescent="0.2">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spans="1:26" ht="15.75" customHeight="1" x14ac:dyDescent="0.2">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spans="1:26" ht="15.75" customHeight="1" x14ac:dyDescent="0.2">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spans="1:26" ht="15.75" customHeight="1" x14ac:dyDescent="0.2">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spans="1:26" ht="15.75" customHeight="1" x14ac:dyDescent="0.2">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spans="1:26" ht="15.75" customHeight="1" x14ac:dyDescent="0.2">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spans="1:26" ht="15.75" customHeight="1" x14ac:dyDescent="0.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spans="1:26" ht="15.75" customHeight="1" x14ac:dyDescent="0.2">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spans="1:26" ht="15.75" customHeight="1" x14ac:dyDescent="0.2">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spans="1:26" ht="15.75" customHeight="1" x14ac:dyDescent="0.2">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spans="1:26" ht="15.75" customHeight="1" x14ac:dyDescent="0.2">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spans="1:26" ht="15.75" customHeight="1" x14ac:dyDescent="0.2">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spans="1:26" ht="15.75" customHeight="1" x14ac:dyDescent="0.2">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spans="1:26" ht="15.75" customHeight="1" x14ac:dyDescent="0.2">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spans="1:26" ht="15.75" customHeight="1" x14ac:dyDescent="0.2">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spans="1:26" ht="15.75" customHeight="1" x14ac:dyDescent="0.2">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spans="1:26" ht="15.75" customHeight="1" x14ac:dyDescent="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spans="1:26" ht="15.75" customHeight="1" x14ac:dyDescent="0.2">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spans="1:26" ht="15.75" customHeight="1" x14ac:dyDescent="0.2">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spans="1:26" ht="15.75" customHeight="1" x14ac:dyDescent="0.2">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spans="1:26" ht="15.75" customHeight="1" x14ac:dyDescent="0.2">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spans="1:26" ht="15.75" customHeight="1" x14ac:dyDescent="0.2">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spans="1:26" ht="15.75" customHeight="1" x14ac:dyDescent="0.2">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spans="1:26" ht="15.75" customHeight="1" x14ac:dyDescent="0.2">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spans="1:26" ht="15.75" customHeight="1" x14ac:dyDescent="0.2">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spans="1:26" ht="15.75" customHeight="1" x14ac:dyDescent="0.2">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spans="1:26" ht="15.75" customHeight="1" x14ac:dyDescent="0.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spans="1:26" ht="15.75" customHeight="1" x14ac:dyDescent="0.2">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spans="1:26" ht="15.75" customHeight="1" x14ac:dyDescent="0.2">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spans="1:26" ht="15.75" customHeight="1" x14ac:dyDescent="0.2">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spans="1:26" ht="15.75" customHeight="1" x14ac:dyDescent="0.2">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spans="1:26" ht="15.75" customHeight="1" x14ac:dyDescent="0.2">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spans="1:26" ht="15.75" customHeight="1" x14ac:dyDescent="0.2">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spans="1:26" ht="15.75" customHeight="1" x14ac:dyDescent="0.2">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spans="1:26" ht="15.75" customHeight="1" x14ac:dyDescent="0.2">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spans="1:26" ht="15.75" customHeight="1" x14ac:dyDescent="0.2">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spans="1:26" ht="15.75" customHeight="1" x14ac:dyDescent="0.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spans="1:26" ht="15.75" customHeight="1" x14ac:dyDescent="0.2">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spans="1:26" ht="15.75" customHeight="1" x14ac:dyDescent="0.2">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spans="1:26" ht="15.75" customHeight="1" x14ac:dyDescent="0.2">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spans="1:26" ht="15.75" customHeight="1" x14ac:dyDescent="0.2">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spans="1:26" ht="15.75" customHeight="1" x14ac:dyDescent="0.2">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spans="1:26" ht="15.75" customHeight="1" x14ac:dyDescent="0.2">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spans="1:26" ht="15.75" customHeight="1" x14ac:dyDescent="0.2">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spans="1:26" ht="15.75" customHeight="1" x14ac:dyDescent="0.2">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spans="1:26" ht="15.75" customHeight="1" x14ac:dyDescent="0.2">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spans="1:26" ht="15.75" customHeight="1" x14ac:dyDescent="0.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spans="1:26" ht="15.75" customHeight="1" x14ac:dyDescent="0.2">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spans="1:26" ht="15.75" customHeight="1" x14ac:dyDescent="0.2">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spans="1:26" ht="15.75" customHeight="1" x14ac:dyDescent="0.2">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spans="1:26" ht="15.75" customHeight="1" x14ac:dyDescent="0.2">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spans="1:26" ht="15.75" customHeight="1" x14ac:dyDescent="0.2">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spans="1:26" ht="15.75" customHeight="1" x14ac:dyDescent="0.2">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spans="1:26" ht="15.75" customHeight="1" x14ac:dyDescent="0.2">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spans="1:26" ht="15.75" customHeight="1" x14ac:dyDescent="0.2">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spans="1:26" ht="15.75" customHeight="1" x14ac:dyDescent="0.2">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spans="1:26" ht="15.75" customHeight="1" x14ac:dyDescent="0.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spans="1:26" ht="15.75" customHeight="1" x14ac:dyDescent="0.2">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spans="1:26" ht="15.75" customHeight="1" x14ac:dyDescent="0.2">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spans="1:26" ht="15.75" customHeight="1" x14ac:dyDescent="0.2">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spans="1:26" ht="15.75" customHeight="1" x14ac:dyDescent="0.2">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spans="1:26" ht="15.75" customHeight="1" x14ac:dyDescent="0.2">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spans="1:26" ht="15.75" customHeight="1" x14ac:dyDescent="0.2">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spans="1:26" ht="15.75" customHeight="1" x14ac:dyDescent="0.2">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spans="1:26" ht="15.75" customHeight="1" x14ac:dyDescent="0.2">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spans="1:26" ht="15.75" customHeight="1" x14ac:dyDescent="0.2">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spans="1:26" ht="15.75" customHeight="1" x14ac:dyDescent="0.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spans="1:26" ht="15.75" customHeight="1" x14ac:dyDescent="0.2">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spans="1:26" ht="15.75" customHeight="1" x14ac:dyDescent="0.2">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spans="1:26" ht="15.75" customHeight="1" x14ac:dyDescent="0.2">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spans="1:26" ht="15.75" customHeight="1" x14ac:dyDescent="0.2">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spans="1:26" ht="15.75" customHeight="1" x14ac:dyDescent="0.2">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spans="1:26" ht="15.75" customHeight="1" x14ac:dyDescent="0.2">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spans="1:26" ht="15.75" customHeight="1" x14ac:dyDescent="0.2">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spans="1:26" ht="15.75" customHeight="1" x14ac:dyDescent="0.2">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spans="1:26" ht="15.75" customHeight="1" x14ac:dyDescent="0.2">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spans="1:26" ht="15.75" customHeight="1" x14ac:dyDescent="0.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spans="1:26" ht="15.75" customHeight="1" x14ac:dyDescent="0.2">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spans="1:26" ht="15.75" customHeight="1" x14ac:dyDescent="0.2">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spans="1:26" ht="15.75" customHeight="1" x14ac:dyDescent="0.2">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spans="1:26" ht="15.75" customHeight="1" x14ac:dyDescent="0.2">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spans="1:26" ht="15.75" customHeight="1" x14ac:dyDescent="0.2">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spans="1:26" ht="15.75" customHeight="1" x14ac:dyDescent="0.2">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spans="1:26" ht="15.75" customHeight="1" x14ac:dyDescent="0.2">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spans="1:26" ht="15.75" customHeight="1" x14ac:dyDescent="0.2">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spans="1:26" ht="15.75" customHeight="1" x14ac:dyDescent="0.2">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spans="1:26" ht="15.75" customHeight="1" x14ac:dyDescent="0.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spans="1:26" ht="15.75" customHeight="1" x14ac:dyDescent="0.2">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spans="1:26" ht="15.75" customHeight="1" x14ac:dyDescent="0.2">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spans="1:26" ht="15.75" customHeight="1" x14ac:dyDescent="0.2">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spans="1:26" ht="15.75" customHeight="1" x14ac:dyDescent="0.2">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spans="1:26" ht="15.75" customHeight="1" x14ac:dyDescent="0.2">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spans="1:26" ht="15.75" customHeight="1" x14ac:dyDescent="0.2">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spans="1:26" ht="15.75" customHeight="1" x14ac:dyDescent="0.2">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spans="1:26" ht="15.75" customHeight="1" x14ac:dyDescent="0.2">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spans="1:26" ht="15.75" customHeight="1" x14ac:dyDescent="0.2">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spans="1:26" ht="15.75" customHeight="1" x14ac:dyDescent="0.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spans="1:26" ht="15.75" customHeight="1" x14ac:dyDescent="0.2">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spans="1:26" ht="15.75" customHeight="1" x14ac:dyDescent="0.2">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spans="1:26" ht="15.75" customHeight="1" x14ac:dyDescent="0.2">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spans="1:26" ht="15.75" customHeight="1" x14ac:dyDescent="0.2">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spans="1:26" ht="15.75" customHeight="1" x14ac:dyDescent="0.2">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spans="1:26" ht="15.75" customHeight="1" x14ac:dyDescent="0.2">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spans="1:26" ht="15.75" customHeight="1" x14ac:dyDescent="0.2">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spans="1:26" ht="15.75" customHeight="1" x14ac:dyDescent="0.2">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spans="1:26" ht="15.75" customHeight="1" x14ac:dyDescent="0.2">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spans="1:26" ht="15.75" customHeight="1" x14ac:dyDescent="0.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spans="1:26" ht="15.75" customHeight="1" x14ac:dyDescent="0.2">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spans="1:26" ht="15.75" customHeight="1" x14ac:dyDescent="0.2">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spans="1:26" ht="15.75" customHeight="1" x14ac:dyDescent="0.2">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spans="1:26" ht="15.75" customHeight="1" x14ac:dyDescent="0.2">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spans="1:26" ht="15.75" customHeight="1" x14ac:dyDescent="0.2">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spans="1:26" ht="15.75" customHeight="1" x14ac:dyDescent="0.2">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spans="1:26" ht="15.75" customHeight="1" x14ac:dyDescent="0.2">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spans="1:26" ht="15.75" customHeight="1" x14ac:dyDescent="0.2">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spans="1:26" ht="15.75" customHeight="1" x14ac:dyDescent="0.2">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spans="1:26" ht="15.75" customHeight="1" x14ac:dyDescent="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spans="1:26" ht="15.75" customHeight="1" x14ac:dyDescent="0.2">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spans="1:26" ht="15.75" customHeight="1" x14ac:dyDescent="0.2">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spans="1:26" ht="15.75" customHeight="1" x14ac:dyDescent="0.2">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spans="1:26" ht="15.75" customHeight="1" x14ac:dyDescent="0.2">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spans="1:26" ht="15.75" customHeight="1" x14ac:dyDescent="0.2">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spans="1:26" ht="15.75" customHeight="1" x14ac:dyDescent="0.2">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spans="1:26" ht="15.75" customHeight="1" x14ac:dyDescent="0.2">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spans="1:26" ht="15.75" customHeight="1" x14ac:dyDescent="0.2">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spans="1:26" ht="15.75" customHeight="1" x14ac:dyDescent="0.2">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spans="1:26" ht="15.75" customHeight="1" x14ac:dyDescent="0.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spans="1:26" ht="15.75" customHeight="1" x14ac:dyDescent="0.2">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spans="1:26" ht="15.75" customHeight="1" x14ac:dyDescent="0.2">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spans="1:26" ht="15.75" customHeight="1" x14ac:dyDescent="0.2">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spans="1:26" ht="15.75" customHeight="1" x14ac:dyDescent="0.2">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spans="1:26" ht="15.75" customHeight="1" x14ac:dyDescent="0.2">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spans="1:26" ht="15.75" customHeight="1" x14ac:dyDescent="0.2">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spans="1:26" ht="15.75" customHeight="1" x14ac:dyDescent="0.2">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spans="1:26" ht="15.75" customHeight="1" x14ac:dyDescent="0.2">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spans="1:26" ht="15.75" customHeight="1" x14ac:dyDescent="0.2">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spans="1:26" ht="15.75" customHeight="1" x14ac:dyDescent="0.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spans="1:26" ht="15.75" customHeight="1" x14ac:dyDescent="0.2">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spans="1:26" ht="15.75" customHeight="1" x14ac:dyDescent="0.2">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spans="1:26" ht="15.75" customHeight="1" x14ac:dyDescent="0.2">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spans="1:26" ht="15.75" customHeight="1" x14ac:dyDescent="0.2">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spans="1:26" ht="15.75" customHeight="1" x14ac:dyDescent="0.2">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spans="1:26" ht="15.75" customHeight="1" x14ac:dyDescent="0.2">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spans="1:26" ht="15.75" customHeight="1" x14ac:dyDescent="0.2">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spans="1:26" ht="15.75" customHeight="1" x14ac:dyDescent="0.2">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spans="1:26" ht="15.75" customHeight="1" x14ac:dyDescent="0.2">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spans="1:26" ht="15.75" customHeight="1" x14ac:dyDescent="0.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spans="1:26" ht="15.75" customHeight="1" x14ac:dyDescent="0.2">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spans="1:26" ht="15.75" customHeight="1" x14ac:dyDescent="0.2">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spans="1:26" ht="15.75" customHeight="1" x14ac:dyDescent="0.2">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spans="1:26" ht="15.75" customHeight="1" x14ac:dyDescent="0.2">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spans="1:26" ht="15.75" customHeight="1" x14ac:dyDescent="0.2">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spans="1:26" ht="15.75" customHeight="1" x14ac:dyDescent="0.2">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spans="1:26" ht="15.75" customHeight="1" x14ac:dyDescent="0.2">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spans="1:26" ht="15.75" customHeight="1" x14ac:dyDescent="0.2">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spans="1:26" ht="15.75" customHeight="1" x14ac:dyDescent="0.2">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spans="1:26" ht="15.75" customHeight="1" x14ac:dyDescent="0.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spans="1:26" ht="15.75" customHeight="1" x14ac:dyDescent="0.2">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spans="1:26" ht="15.75" customHeight="1" x14ac:dyDescent="0.2">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spans="1:26" ht="15.75" customHeight="1" x14ac:dyDescent="0.2">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spans="1:26" ht="15.75" customHeight="1" x14ac:dyDescent="0.2">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spans="1:26" ht="15.75" customHeight="1" x14ac:dyDescent="0.2">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spans="1:26" ht="15.75" customHeight="1" x14ac:dyDescent="0.2">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spans="1:26" ht="15.75" customHeight="1" x14ac:dyDescent="0.2">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spans="1:26" ht="15.75" customHeight="1" x14ac:dyDescent="0.2">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spans="1:26" ht="15.75" customHeight="1" x14ac:dyDescent="0.2">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spans="1:26" ht="15.75" customHeight="1" x14ac:dyDescent="0.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spans="1:26" ht="15.75" customHeight="1" x14ac:dyDescent="0.2">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spans="1:26" ht="15.75" customHeight="1" x14ac:dyDescent="0.2">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spans="1:26" ht="15.75" customHeight="1" x14ac:dyDescent="0.2">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spans="1:26" ht="15.75" customHeight="1" x14ac:dyDescent="0.2">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spans="1:26" ht="15.75" customHeight="1" x14ac:dyDescent="0.2">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spans="1:26" ht="15.75" customHeight="1" x14ac:dyDescent="0.2">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spans="1:26" ht="15.75" customHeight="1" x14ac:dyDescent="0.2">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spans="1:26" ht="15.75" customHeight="1" x14ac:dyDescent="0.2">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spans="1:26" ht="15.75" customHeight="1" x14ac:dyDescent="0.2">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spans="1:26" ht="15.75" customHeight="1" x14ac:dyDescent="0.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spans="1:26" ht="15.75" customHeight="1" x14ac:dyDescent="0.2">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spans="1:26" ht="15.75" customHeight="1" x14ac:dyDescent="0.2">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spans="1:26" ht="15.75" customHeight="1" x14ac:dyDescent="0.2">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spans="1:26" ht="15.75" customHeight="1" x14ac:dyDescent="0.2">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spans="1:26" ht="15.75" customHeight="1" x14ac:dyDescent="0.2">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spans="1:26" ht="15.75" customHeight="1" x14ac:dyDescent="0.2">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spans="1:26" ht="15.75" customHeight="1" x14ac:dyDescent="0.2">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spans="1:26" ht="15.75" customHeight="1" x14ac:dyDescent="0.2">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spans="1:26" ht="15.75" customHeight="1" x14ac:dyDescent="0.2">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spans="1:26" ht="15.75" customHeight="1" x14ac:dyDescent="0.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spans="1:26" ht="15.75" customHeight="1" x14ac:dyDescent="0.2">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spans="1:26" ht="15.75" customHeight="1" x14ac:dyDescent="0.2">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spans="1:26" ht="15.75" customHeight="1" x14ac:dyDescent="0.2">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spans="1:26" ht="15.75" customHeight="1" x14ac:dyDescent="0.2">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spans="1:26" ht="15.75" customHeight="1" x14ac:dyDescent="0.2">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spans="1:26" ht="15.75" customHeight="1" x14ac:dyDescent="0.2">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spans="1:26" ht="15.75" customHeight="1" x14ac:dyDescent="0.2">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spans="1:26" ht="15.75" customHeight="1" x14ac:dyDescent="0.2">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spans="1:26" ht="15.75" customHeight="1" x14ac:dyDescent="0.2">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spans="1:26" ht="15.75" customHeight="1" x14ac:dyDescent="0.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spans="1:26" ht="15.75" customHeight="1" x14ac:dyDescent="0.2">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spans="1:26" ht="15.75" customHeight="1" x14ac:dyDescent="0.2">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spans="1:26" ht="15.75" customHeight="1" x14ac:dyDescent="0.2">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spans="1:26" ht="15.75" customHeight="1" x14ac:dyDescent="0.2">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spans="1:26" ht="15.75" customHeight="1" x14ac:dyDescent="0.2">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spans="1:26" ht="15.75" customHeight="1" x14ac:dyDescent="0.2">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spans="1:26" ht="15.75" customHeight="1" x14ac:dyDescent="0.2">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spans="1:26" ht="15.75" customHeight="1" x14ac:dyDescent="0.2">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spans="1:26" ht="15.75" customHeight="1" x14ac:dyDescent="0.2">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spans="1:26" ht="15.75" customHeight="1" x14ac:dyDescent="0.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spans="1:26" ht="15.75" customHeight="1" x14ac:dyDescent="0.2">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spans="1:26" ht="15.75" customHeight="1" x14ac:dyDescent="0.2">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spans="1:26" ht="15.75" customHeight="1" x14ac:dyDescent="0.2">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spans="1:26" ht="15.75" customHeight="1" x14ac:dyDescent="0.2">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spans="1:26" ht="15.75" customHeight="1" x14ac:dyDescent="0.2">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spans="1:26" ht="15.75" customHeight="1" x14ac:dyDescent="0.2">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spans="1:26" ht="15.75" customHeight="1" x14ac:dyDescent="0.2">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spans="1:26" ht="15.75" customHeight="1" x14ac:dyDescent="0.2">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spans="1:26" ht="15.75" customHeight="1" x14ac:dyDescent="0.2">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spans="1:26" ht="15.75" customHeight="1" x14ac:dyDescent="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spans="1:26" ht="15.75" customHeight="1" x14ac:dyDescent="0.2">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spans="1:26" ht="15.75" customHeight="1" x14ac:dyDescent="0.2">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spans="1:26" ht="15.75" customHeight="1" x14ac:dyDescent="0.2">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spans="1:26" ht="15.75" customHeight="1" x14ac:dyDescent="0.2">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spans="1:26" ht="15.75" customHeight="1" x14ac:dyDescent="0.2">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spans="1:26" ht="15.75" customHeight="1" x14ac:dyDescent="0.2">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spans="1:26" ht="15.75" customHeight="1" x14ac:dyDescent="0.2">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spans="1:26" ht="15.75" customHeight="1" x14ac:dyDescent="0.2">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spans="1:26" ht="15.75" customHeight="1" x14ac:dyDescent="0.2">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spans="1:26" ht="15.75" customHeight="1" x14ac:dyDescent="0.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spans="1:26" ht="15.75" customHeight="1" x14ac:dyDescent="0.2">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spans="1:26" ht="15.75" customHeight="1" x14ac:dyDescent="0.2">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spans="1:26" ht="15.75" customHeight="1" x14ac:dyDescent="0.2">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spans="1:26" ht="15.75" customHeight="1" x14ac:dyDescent="0.2">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spans="1:26" ht="15.75" customHeight="1" x14ac:dyDescent="0.2">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spans="1:26" ht="15.75" customHeight="1" x14ac:dyDescent="0.2">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spans="1:26" ht="15.75" customHeight="1" x14ac:dyDescent="0.2">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spans="1:26" ht="15.75" customHeight="1" x14ac:dyDescent="0.2">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spans="1:26" ht="15.75" customHeight="1" x14ac:dyDescent="0.2">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spans="1:26" ht="15.75" customHeight="1" x14ac:dyDescent="0.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spans="1:26" ht="15.75" customHeight="1" x14ac:dyDescent="0.2">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spans="1:26" ht="15.75" customHeight="1" x14ac:dyDescent="0.2">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spans="1:26" ht="15.75" customHeight="1" x14ac:dyDescent="0.2">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spans="1:26" ht="15.75" customHeight="1" x14ac:dyDescent="0.2">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spans="1:26" ht="15.75" customHeight="1" x14ac:dyDescent="0.2">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spans="1:26" ht="15.75" customHeight="1" x14ac:dyDescent="0.2">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spans="1:26" ht="15.75" customHeight="1" x14ac:dyDescent="0.2">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spans="1:26" ht="15.75" customHeight="1" x14ac:dyDescent="0.2">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spans="1:26" ht="15.75" customHeight="1" x14ac:dyDescent="0.2">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spans="1:26" ht="15.75" customHeight="1" x14ac:dyDescent="0.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spans="1:26" ht="15.75" customHeight="1" x14ac:dyDescent="0.2">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spans="1:26" ht="15.75" customHeight="1" x14ac:dyDescent="0.2">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spans="1:26" ht="15.75" customHeight="1" x14ac:dyDescent="0.2">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spans="1:26" ht="15.75" customHeight="1" x14ac:dyDescent="0.2">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spans="1:26" ht="15.75" customHeight="1" x14ac:dyDescent="0.2">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spans="1:26" ht="15.75" customHeight="1" x14ac:dyDescent="0.2">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spans="1:26" ht="15.75" customHeight="1" x14ac:dyDescent="0.2">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spans="1:26" ht="15.75" customHeight="1" x14ac:dyDescent="0.2">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spans="1:26" ht="15.75" customHeight="1" x14ac:dyDescent="0.2">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spans="1:26" ht="15.75" customHeight="1" x14ac:dyDescent="0.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spans="1:26" ht="15.75" customHeight="1" x14ac:dyDescent="0.2">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spans="1:26" ht="15.75" customHeight="1" x14ac:dyDescent="0.2">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spans="1:26" ht="15.75" customHeight="1" x14ac:dyDescent="0.2">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spans="1:26" ht="15.75" customHeight="1" x14ac:dyDescent="0.2">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spans="1:26" ht="15.75" customHeight="1" x14ac:dyDescent="0.2">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spans="1:26" ht="15.75" customHeight="1" x14ac:dyDescent="0.2">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spans="1:26" ht="15.75" customHeight="1" x14ac:dyDescent="0.2">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spans="1:26" ht="15.75" customHeight="1" x14ac:dyDescent="0.2">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spans="1:26" ht="15.75" customHeight="1" x14ac:dyDescent="0.2">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spans="1:26" ht="15.75" customHeight="1" x14ac:dyDescent="0.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spans="1:26" ht="15.75" customHeight="1" x14ac:dyDescent="0.2">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spans="1:26" ht="15.75" customHeight="1" x14ac:dyDescent="0.2">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spans="1:26" ht="15.75" customHeight="1" x14ac:dyDescent="0.2">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spans="1:26" ht="15.75" customHeight="1" x14ac:dyDescent="0.2">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spans="1:26" ht="15.75" customHeight="1" x14ac:dyDescent="0.2">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spans="1:26" ht="15.75" customHeight="1" x14ac:dyDescent="0.2">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spans="1:26" ht="15.75" customHeight="1" x14ac:dyDescent="0.2">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spans="1:26" ht="15.75" customHeight="1" x14ac:dyDescent="0.2">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spans="1:26" ht="15.75" customHeight="1" x14ac:dyDescent="0.2">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spans="1:26" ht="15.75" customHeight="1" x14ac:dyDescent="0.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spans="1:26" ht="15.75" customHeight="1" x14ac:dyDescent="0.2">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spans="1:26" ht="15.75" customHeight="1" x14ac:dyDescent="0.2">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spans="1:26" ht="15.75" customHeight="1" x14ac:dyDescent="0.2">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5.75" customHeight="1" x14ac:dyDescent="0.2">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5.75" customHeight="1" x14ac:dyDescent="0.2">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5.75" customHeight="1" x14ac:dyDescent="0.2">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5.75" customHeight="1" x14ac:dyDescent="0.2">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5.75" customHeight="1" x14ac:dyDescent="0.2">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5.75" customHeight="1" x14ac:dyDescent="0.2">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5.75" customHeight="1" x14ac:dyDescent="0.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5.75" customHeight="1" x14ac:dyDescent="0.2">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5.75" customHeight="1" x14ac:dyDescent="0.2">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5.75" customHeight="1" x14ac:dyDescent="0.2">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5.75" customHeight="1" x14ac:dyDescent="0.2">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5.75" customHeight="1" x14ac:dyDescent="0.2">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5.75" customHeight="1" x14ac:dyDescent="0.2">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5.75" customHeight="1" x14ac:dyDescent="0.2">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5.75" customHeight="1" x14ac:dyDescent="0.2">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5.75" customHeight="1" x14ac:dyDescent="0.2">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5.75" customHeight="1" x14ac:dyDescent="0.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5.75" customHeight="1" x14ac:dyDescent="0.2">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5.75" customHeight="1" x14ac:dyDescent="0.2">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5.75" customHeight="1" x14ac:dyDescent="0.2">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5.75" customHeight="1" x14ac:dyDescent="0.2">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5.75" customHeight="1" x14ac:dyDescent="0.2">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5.75" customHeight="1" x14ac:dyDescent="0.2">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5.75" customHeight="1" x14ac:dyDescent="0.2">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5.75" customHeight="1" x14ac:dyDescent="0.2">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5.75" customHeight="1" x14ac:dyDescent="0.2">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5.75" customHeight="1" x14ac:dyDescent="0.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5.75" customHeight="1" x14ac:dyDescent="0.2">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5.75" customHeight="1" x14ac:dyDescent="0.2">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5.75" customHeight="1" x14ac:dyDescent="0.2">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5.75" customHeight="1" x14ac:dyDescent="0.2">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5.75" customHeight="1" x14ac:dyDescent="0.2">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5.75" customHeight="1" x14ac:dyDescent="0.2">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5.75" customHeight="1" x14ac:dyDescent="0.2">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5.75" customHeight="1" x14ac:dyDescent="0.2">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mergeCells count="20">
    <mergeCell ref="V1:V2"/>
    <mergeCell ref="W1:W2"/>
    <mergeCell ref="X1:Y1"/>
    <mergeCell ref="H1:H2"/>
    <mergeCell ref="I1:I2"/>
    <mergeCell ref="J1:J2"/>
    <mergeCell ref="K1:K2"/>
    <mergeCell ref="L1:L2"/>
    <mergeCell ref="N1:N2"/>
    <mergeCell ref="Q1:Q2"/>
    <mergeCell ref="F1:F2"/>
    <mergeCell ref="G1:G2"/>
    <mergeCell ref="O1:P1"/>
    <mergeCell ref="R1:T1"/>
    <mergeCell ref="U1:U2"/>
    <mergeCell ref="A1:A2"/>
    <mergeCell ref="B1:B2"/>
    <mergeCell ref="C1:C2"/>
    <mergeCell ref="D1:D2"/>
    <mergeCell ref="E1:E2"/>
  </mergeCells>
  <pageMargins left="0.7" right="0.7" top="0.75" bottom="0.75" header="0.3" footer="0.3"/>
  <pageSetup orientation="portrait"/>
  <headerFooter>
    <oddHeader>&amp;L&amp;C&amp;R</oddHeader>
    <oddFooter>&amp;L&amp;C&amp;R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8D15C-7128-29A8-831E-33A3C5BF57A8}">
  <sheetPr>
    <outlinePr summaryBelow="0" summaryRight="0"/>
  </sheetPr>
  <dimension ref="A1:Z1000"/>
  <sheetViews>
    <sheetView showGridLines="0" workbookViewId="0">
      <pane xSplit="1" ySplit="2" topLeftCell="B3" activePane="bottomRight" state="frozen"/>
      <selection pane="topRight" activeCell="B1" sqref="B1"/>
      <selection pane="bottomLeft" activeCell="A3" sqref="A3"/>
      <selection pane="bottomRight" sqref="A1:A2"/>
    </sheetView>
  </sheetViews>
  <sheetFormatPr defaultColWidth="12.5703125" defaultRowHeight="15.75" customHeight="1" x14ac:dyDescent="0.2"/>
  <cols>
    <col min="1" max="1" width="11.140625" customWidth="1"/>
    <col min="2" max="2" width="8" customWidth="1"/>
    <col min="3" max="3" width="37" customWidth="1"/>
    <col min="4" max="4" width="11" customWidth="1"/>
    <col min="8" max="8" width="12" customWidth="1"/>
    <col min="9" max="9" width="11.5703125" customWidth="1"/>
    <col min="10" max="12" width="12" customWidth="1"/>
    <col min="14" max="17" width="12" customWidth="1"/>
    <col min="18" max="18" width="37.5703125" customWidth="1"/>
    <col min="19" max="20" width="12" customWidth="1"/>
    <col min="23" max="23" width="12" customWidth="1"/>
    <col min="24" max="24" width="22.28515625" customWidth="1"/>
    <col min="25" max="25" width="11.140625" customWidth="1"/>
    <col min="26" max="26" width="16.28515625" customWidth="1"/>
  </cols>
  <sheetData>
    <row r="1" spans="1:26" ht="15.75" customHeight="1" x14ac:dyDescent="0.2">
      <c r="A1" s="86" t="s">
        <v>83</v>
      </c>
      <c r="B1" s="86" t="s">
        <v>18</v>
      </c>
      <c r="C1" s="86" t="s">
        <v>84</v>
      </c>
      <c r="D1" s="86" t="s">
        <v>85</v>
      </c>
      <c r="E1" s="86" t="s">
        <v>86</v>
      </c>
      <c r="F1" s="86" t="s">
        <v>87</v>
      </c>
      <c r="G1" s="86" t="s">
        <v>33</v>
      </c>
      <c r="H1" s="86" t="s">
        <v>36</v>
      </c>
      <c r="I1" s="86" t="s">
        <v>88</v>
      </c>
      <c r="J1" s="86" t="s">
        <v>89</v>
      </c>
      <c r="K1" s="86" t="s">
        <v>90</v>
      </c>
      <c r="L1" s="86" t="s">
        <v>91</v>
      </c>
      <c r="M1" s="6" t="s">
        <v>47</v>
      </c>
      <c r="N1" s="86" t="s">
        <v>92</v>
      </c>
      <c r="O1" s="87" t="s">
        <v>50</v>
      </c>
      <c r="P1" s="88"/>
      <c r="Q1" s="86" t="s">
        <v>93</v>
      </c>
      <c r="R1" s="87" t="s">
        <v>94</v>
      </c>
      <c r="S1" s="89"/>
      <c r="T1" s="88"/>
      <c r="U1" s="86" t="s">
        <v>95</v>
      </c>
      <c r="V1" s="86" t="s">
        <v>96</v>
      </c>
      <c r="W1" s="86" t="s">
        <v>53</v>
      </c>
      <c r="X1" s="87" t="s">
        <v>97</v>
      </c>
      <c r="Y1" s="88"/>
      <c r="Z1" s="6" t="s">
        <v>98</v>
      </c>
    </row>
    <row r="2" spans="1:26" ht="15.75" customHeight="1" x14ac:dyDescent="0.2">
      <c r="A2" s="85"/>
      <c r="B2" s="85"/>
      <c r="C2" s="85"/>
      <c r="D2" s="85"/>
      <c r="E2" s="85"/>
      <c r="F2" s="85"/>
      <c r="G2" s="85"/>
      <c r="H2" s="85"/>
      <c r="I2" s="85"/>
      <c r="J2" s="85"/>
      <c r="K2" s="85"/>
      <c r="L2" s="85"/>
      <c r="M2" s="6" t="s">
        <v>99</v>
      </c>
      <c r="N2" s="85"/>
      <c r="O2" s="6" t="s">
        <v>100</v>
      </c>
      <c r="P2" s="6" t="s">
        <v>18</v>
      </c>
      <c r="Q2" s="85"/>
      <c r="R2" s="6" t="s">
        <v>101</v>
      </c>
      <c r="S2" s="6" t="s">
        <v>83</v>
      </c>
      <c r="T2" s="6" t="s">
        <v>102</v>
      </c>
      <c r="U2" s="85"/>
      <c r="V2" s="85"/>
      <c r="W2" s="85"/>
      <c r="X2" s="6" t="s">
        <v>101</v>
      </c>
      <c r="Y2" s="6" t="s">
        <v>83</v>
      </c>
      <c r="Z2" s="6"/>
    </row>
    <row r="3" spans="1:26" ht="269.25" customHeight="1" x14ac:dyDescent="0.2">
      <c r="A3" s="53" t="s">
        <v>592</v>
      </c>
      <c r="B3" s="9" t="s">
        <v>603</v>
      </c>
      <c r="C3" s="9" t="s">
        <v>22</v>
      </c>
      <c r="D3" s="9" t="s">
        <v>604</v>
      </c>
      <c r="E3" s="9" t="s">
        <v>571</v>
      </c>
      <c r="F3" s="9" t="s">
        <v>605</v>
      </c>
      <c r="G3" s="9" t="s">
        <v>576</v>
      </c>
      <c r="H3" s="9" t="s">
        <v>576</v>
      </c>
      <c r="I3" s="9" t="s">
        <v>606</v>
      </c>
      <c r="J3" s="9" t="s">
        <v>576</v>
      </c>
      <c r="K3" s="9" t="s">
        <v>576</v>
      </c>
      <c r="L3" s="9" t="s">
        <v>576</v>
      </c>
      <c r="M3" s="9" t="s">
        <v>576</v>
      </c>
      <c r="N3" s="9" t="s">
        <v>576</v>
      </c>
      <c r="O3" s="9" t="s">
        <v>576</v>
      </c>
      <c r="P3" s="9" t="s">
        <v>576</v>
      </c>
      <c r="Q3" s="9" t="s">
        <v>576</v>
      </c>
      <c r="R3" s="9" t="s">
        <v>576</v>
      </c>
      <c r="S3" s="9" t="s">
        <v>576</v>
      </c>
      <c r="T3" s="9" t="s">
        <v>576</v>
      </c>
      <c r="U3" s="9" t="s">
        <v>19</v>
      </c>
      <c r="V3" s="9" t="s">
        <v>576</v>
      </c>
      <c r="W3" s="9" t="s">
        <v>576</v>
      </c>
      <c r="X3" s="9" t="s">
        <v>607</v>
      </c>
      <c r="Y3" s="9" t="s">
        <v>19</v>
      </c>
      <c r="Z3" s="9" t="s">
        <v>608</v>
      </c>
    </row>
    <row r="4" spans="1:26" ht="269.25" customHeight="1" x14ac:dyDescent="0.2">
      <c r="A4" s="53" t="s">
        <v>581</v>
      </c>
      <c r="B4" s="9" t="s">
        <v>19</v>
      </c>
      <c r="C4" s="9" t="s">
        <v>22</v>
      </c>
      <c r="D4" s="9" t="s">
        <v>609</v>
      </c>
      <c r="E4" s="9" t="s">
        <v>571</v>
      </c>
      <c r="F4" s="9" t="s">
        <v>605</v>
      </c>
      <c r="G4" s="9" t="s">
        <v>576</v>
      </c>
      <c r="H4" s="9" t="s">
        <v>576</v>
      </c>
      <c r="I4" s="9" t="s">
        <v>610</v>
      </c>
      <c r="J4" s="9" t="s">
        <v>576</v>
      </c>
      <c r="K4" s="9" t="s">
        <v>576</v>
      </c>
      <c r="L4" s="9" t="s">
        <v>576</v>
      </c>
      <c r="M4" s="9" t="s">
        <v>576</v>
      </c>
      <c r="N4" s="9" t="s">
        <v>576</v>
      </c>
      <c r="O4" s="9" t="s">
        <v>576</v>
      </c>
      <c r="P4" s="9" t="s">
        <v>576</v>
      </c>
      <c r="Q4" s="9" t="s">
        <v>576</v>
      </c>
      <c r="R4" s="9" t="s">
        <v>576</v>
      </c>
      <c r="S4" s="9" t="s">
        <v>576</v>
      </c>
      <c r="T4" s="9" t="s">
        <v>576</v>
      </c>
      <c r="U4" s="9" t="s">
        <v>576</v>
      </c>
      <c r="V4" s="9" t="s">
        <v>576</v>
      </c>
      <c r="W4" s="9" t="s">
        <v>576</v>
      </c>
      <c r="X4" s="9" t="s">
        <v>611</v>
      </c>
      <c r="Y4" s="9" t="s">
        <v>19</v>
      </c>
      <c r="Z4" s="9" t="s">
        <v>612</v>
      </c>
    </row>
    <row r="5" spans="1:26" ht="269.25" customHeight="1" x14ac:dyDescent="0.2">
      <c r="A5" s="53" t="s">
        <v>586</v>
      </c>
      <c r="B5" s="9" t="s">
        <v>613</v>
      </c>
      <c r="C5" s="9" t="s">
        <v>22</v>
      </c>
      <c r="D5" s="9" t="s">
        <v>614</v>
      </c>
      <c r="E5" s="9" t="s">
        <v>571</v>
      </c>
      <c r="F5" s="9" t="s">
        <v>605</v>
      </c>
      <c r="G5" s="9" t="s">
        <v>573</v>
      </c>
      <c r="H5" s="9" t="s">
        <v>574</v>
      </c>
      <c r="I5" s="9" t="s">
        <v>615</v>
      </c>
      <c r="J5" s="9" t="s">
        <v>576</v>
      </c>
      <c r="K5" s="9" t="s">
        <v>616</v>
      </c>
      <c r="L5" s="9"/>
      <c r="M5" s="9" t="s">
        <v>576</v>
      </c>
      <c r="N5" s="9" t="s">
        <v>576</v>
      </c>
      <c r="O5" s="9" t="s">
        <v>576</v>
      </c>
      <c r="P5" s="9" t="s">
        <v>576</v>
      </c>
      <c r="Q5" s="9" t="s">
        <v>576</v>
      </c>
      <c r="R5" s="9" t="s">
        <v>576</v>
      </c>
      <c r="S5" s="9" t="s">
        <v>576</v>
      </c>
      <c r="T5" s="9" t="s">
        <v>576</v>
      </c>
      <c r="U5" s="9" t="s">
        <v>19</v>
      </c>
      <c r="V5" s="9" t="s">
        <v>106</v>
      </c>
      <c r="W5" s="9" t="s">
        <v>106</v>
      </c>
      <c r="X5" s="9" t="s">
        <v>617</v>
      </c>
      <c r="Y5" s="9" t="s">
        <v>19</v>
      </c>
      <c r="Z5" s="9" t="s">
        <v>618</v>
      </c>
    </row>
    <row r="6" spans="1:26" ht="15.75" customHeight="1" x14ac:dyDescent="0.2">
      <c r="A6" s="54"/>
      <c r="B6" s="54"/>
      <c r="C6" s="54"/>
      <c r="D6" s="54"/>
      <c r="E6" s="54"/>
      <c r="F6" s="54"/>
      <c r="G6" s="54"/>
      <c r="H6" s="54"/>
      <c r="I6" s="54"/>
      <c r="J6" s="54"/>
      <c r="K6" s="54"/>
      <c r="L6" s="54"/>
      <c r="M6" s="54"/>
      <c r="N6" s="54"/>
      <c r="O6" s="54"/>
      <c r="P6" s="54"/>
      <c r="Q6" s="54"/>
      <c r="R6" s="54"/>
      <c r="S6" s="54"/>
      <c r="T6" s="54"/>
      <c r="U6" s="54"/>
      <c r="V6" s="54"/>
      <c r="W6" s="54"/>
      <c r="X6" s="54"/>
      <c r="Y6" s="54"/>
      <c r="Z6" s="54"/>
    </row>
    <row r="7" spans="1:26" ht="15.75" customHeight="1" x14ac:dyDescent="0.2">
      <c r="A7" s="54"/>
      <c r="B7" s="54"/>
      <c r="C7" s="54"/>
      <c r="D7" s="54"/>
      <c r="E7" s="54"/>
      <c r="F7" s="54"/>
      <c r="G7" s="54"/>
      <c r="H7" s="54"/>
      <c r="I7" s="54"/>
      <c r="J7" s="54"/>
      <c r="K7" s="54"/>
      <c r="L7" s="54"/>
      <c r="M7" s="54"/>
      <c r="N7" s="54"/>
      <c r="O7" s="54"/>
      <c r="P7" s="54"/>
      <c r="Q7" s="54"/>
      <c r="R7" s="54"/>
      <c r="S7" s="54"/>
      <c r="T7" s="54"/>
      <c r="U7" s="54"/>
      <c r="V7" s="54"/>
      <c r="W7" s="54"/>
      <c r="X7" s="54"/>
      <c r="Y7" s="54"/>
      <c r="Z7" s="54"/>
    </row>
    <row r="8" spans="1:26" ht="15.75" customHeight="1" x14ac:dyDescent="0.2">
      <c r="A8" s="54"/>
      <c r="B8" s="54"/>
      <c r="C8" s="54"/>
      <c r="D8" s="54"/>
      <c r="E8" s="54"/>
      <c r="F8" s="54"/>
      <c r="G8" s="54"/>
      <c r="H8" s="54"/>
      <c r="I8" s="54"/>
      <c r="J8" s="54"/>
      <c r="K8" s="54"/>
      <c r="L8" s="54"/>
      <c r="M8" s="54"/>
      <c r="N8" s="54"/>
      <c r="O8" s="54"/>
      <c r="P8" s="54"/>
      <c r="Q8" s="54"/>
      <c r="R8" s="54"/>
      <c r="S8" s="54"/>
      <c r="T8" s="54"/>
      <c r="U8" s="54"/>
      <c r="V8" s="54"/>
      <c r="W8" s="54"/>
      <c r="X8" s="54"/>
      <c r="Y8" s="54"/>
      <c r="Z8" s="54"/>
    </row>
    <row r="9" spans="1:26" ht="15.75" customHeight="1" x14ac:dyDescent="0.2">
      <c r="A9" s="54"/>
      <c r="B9" s="54"/>
      <c r="C9" s="54"/>
      <c r="D9" s="54"/>
      <c r="E9" s="54"/>
      <c r="F9" s="54"/>
      <c r="G9" s="54"/>
      <c r="H9" s="54"/>
      <c r="I9" s="54"/>
      <c r="J9" s="54"/>
      <c r="K9" s="54"/>
      <c r="L9" s="54"/>
      <c r="M9" s="54"/>
      <c r="N9" s="54"/>
      <c r="O9" s="54"/>
      <c r="P9" s="54"/>
      <c r="Q9" s="54"/>
      <c r="R9" s="54"/>
      <c r="S9" s="54"/>
      <c r="T9" s="54"/>
      <c r="U9" s="54"/>
      <c r="V9" s="54"/>
      <c r="W9" s="54"/>
      <c r="X9" s="54"/>
      <c r="Y9" s="54"/>
      <c r="Z9" s="54"/>
    </row>
    <row r="10" spans="1:26" ht="15.75" customHeight="1" x14ac:dyDescent="0.2">
      <c r="A10" s="54"/>
      <c r="B10" s="54"/>
      <c r="C10" s="54"/>
      <c r="D10" s="54"/>
      <c r="E10" s="54"/>
      <c r="F10" s="54"/>
      <c r="G10" s="54"/>
      <c r="H10" s="54"/>
      <c r="I10" s="54"/>
      <c r="J10" s="54"/>
      <c r="K10" s="54"/>
      <c r="L10" s="54"/>
      <c r="M10" s="54"/>
      <c r="N10" s="54"/>
      <c r="O10" s="54"/>
      <c r="P10" s="54"/>
      <c r="Q10" s="54"/>
      <c r="R10" s="54"/>
      <c r="S10" s="54"/>
      <c r="T10" s="54"/>
      <c r="U10" s="54"/>
      <c r="V10" s="54"/>
      <c r="W10" s="54"/>
      <c r="X10" s="54"/>
      <c r="Y10" s="54"/>
      <c r="Z10" s="54"/>
    </row>
    <row r="11" spans="1:26" ht="15.75" customHeight="1" x14ac:dyDescent="0.2">
      <c r="A11" s="54"/>
      <c r="B11" s="54"/>
      <c r="C11" s="54"/>
      <c r="D11" s="54"/>
      <c r="E11" s="54"/>
      <c r="F11" s="54"/>
      <c r="G11" s="54"/>
      <c r="H11" s="54"/>
      <c r="I11" s="54"/>
      <c r="J11" s="54"/>
      <c r="K11" s="54"/>
      <c r="L11" s="54"/>
      <c r="M11" s="54"/>
      <c r="N11" s="54"/>
      <c r="O11" s="54"/>
      <c r="P11" s="54"/>
      <c r="Q11" s="54"/>
      <c r="R11" s="54"/>
      <c r="S11" s="54"/>
      <c r="T11" s="54"/>
      <c r="U11" s="54"/>
      <c r="V11" s="54"/>
      <c r="W11" s="54"/>
      <c r="X11" s="54"/>
      <c r="Y11" s="54"/>
      <c r="Z11" s="54"/>
    </row>
    <row r="12" spans="1:26" ht="15.75" customHeight="1" x14ac:dyDescent="0.2">
      <c r="A12" s="54"/>
      <c r="B12" s="54"/>
      <c r="C12" s="54"/>
      <c r="D12" s="54"/>
      <c r="E12" s="54"/>
      <c r="F12" s="54"/>
      <c r="G12" s="54"/>
      <c r="H12" s="54"/>
      <c r="I12" s="54"/>
      <c r="J12" s="54"/>
      <c r="K12" s="54"/>
      <c r="L12" s="54"/>
      <c r="M12" s="54"/>
      <c r="N12" s="54"/>
      <c r="O12" s="54"/>
      <c r="P12" s="54"/>
      <c r="Q12" s="54"/>
      <c r="R12" s="54"/>
      <c r="S12" s="54"/>
      <c r="T12" s="54"/>
      <c r="U12" s="54"/>
      <c r="V12" s="54"/>
      <c r="W12" s="54"/>
      <c r="X12" s="54"/>
      <c r="Y12" s="54"/>
      <c r="Z12" s="54"/>
    </row>
    <row r="13" spans="1:26" ht="15.75" customHeight="1" x14ac:dyDescent="0.2">
      <c r="A13" s="54"/>
      <c r="B13" s="54"/>
      <c r="C13" s="54"/>
      <c r="D13" s="54"/>
      <c r="E13" s="54"/>
      <c r="F13" s="54"/>
      <c r="G13" s="54"/>
      <c r="H13" s="54"/>
      <c r="I13" s="54"/>
      <c r="J13" s="54"/>
      <c r="K13" s="54"/>
      <c r="L13" s="54"/>
      <c r="M13" s="54"/>
      <c r="N13" s="54"/>
      <c r="O13" s="54"/>
      <c r="P13" s="54"/>
      <c r="Q13" s="54"/>
      <c r="R13" s="54"/>
      <c r="S13" s="54"/>
      <c r="T13" s="54"/>
      <c r="U13" s="54"/>
      <c r="V13" s="54"/>
      <c r="W13" s="54"/>
      <c r="X13" s="54"/>
      <c r="Y13" s="54"/>
      <c r="Z13" s="54"/>
    </row>
    <row r="14" spans="1:26" ht="15.75" customHeight="1" x14ac:dyDescent="0.2">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row>
    <row r="15" spans="1:26" ht="15.75" customHeight="1" x14ac:dyDescent="0.2">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row>
    <row r="16" spans="1:26" ht="15.75" customHeight="1" x14ac:dyDescent="0.2">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row>
    <row r="17" spans="1:26" ht="15.75" customHeight="1" x14ac:dyDescent="0.2">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row>
    <row r="18" spans="1:26" ht="15.75" customHeight="1" x14ac:dyDescent="0.2">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row>
    <row r="19" spans="1:26" ht="15.75" customHeight="1" x14ac:dyDescent="0.2">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spans="1:26" ht="15.75" customHeight="1" x14ac:dyDescent="0.2">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spans="1:26" ht="15.75" customHeight="1" x14ac:dyDescent="0.2">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spans="1:26" ht="15.75" customHeight="1" x14ac:dyDescent="0.2">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spans="1:26" ht="15.75" customHeight="1" x14ac:dyDescent="0.2">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spans="1:26" ht="15.75" customHeight="1" x14ac:dyDescent="0.2">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spans="1:26" ht="15.75" customHeight="1" x14ac:dyDescent="0.2">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spans="1:26" ht="15.75" customHeight="1" x14ac:dyDescent="0.2">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spans="1:26" ht="15.75" customHeight="1" x14ac:dyDescent="0.2">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spans="1:26" ht="15.75" customHeight="1" x14ac:dyDescent="0.2">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spans="1:26" ht="15.75" customHeight="1" x14ac:dyDescent="0.2">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spans="1:26" ht="15.75" customHeight="1" x14ac:dyDescent="0.2">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spans="1:26" ht="15.75" customHeight="1" x14ac:dyDescent="0.2">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spans="1:26" ht="15.75" customHeight="1" x14ac:dyDescent="0.2">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spans="1:26" ht="15.75" customHeight="1" x14ac:dyDescent="0.2">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spans="1:26" ht="15.75" customHeight="1" x14ac:dyDescent="0.2">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spans="1:26" ht="15.75" customHeight="1" x14ac:dyDescent="0.2">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spans="1:26" ht="15.75" customHeight="1" x14ac:dyDescent="0.2">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spans="1:26" ht="15.75" customHeight="1" x14ac:dyDescent="0.2">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spans="1:26" ht="15.75" customHeight="1" x14ac:dyDescent="0.2">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spans="1:26" ht="15.75" customHeight="1" x14ac:dyDescent="0.2">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spans="1:26" ht="15.75" customHeight="1" x14ac:dyDescent="0.2">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spans="1:26" ht="15.75" customHeight="1" x14ac:dyDescent="0.2">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spans="1:26" ht="15.75" customHeight="1" x14ac:dyDescent="0.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spans="1:26" ht="15.75" customHeight="1" x14ac:dyDescent="0.2">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spans="1:26" ht="15.75" customHeight="1" x14ac:dyDescent="0.2">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spans="1:26" ht="15.75" customHeight="1" x14ac:dyDescent="0.2">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spans="1:26" ht="15.75" customHeight="1" x14ac:dyDescent="0.2">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spans="1:26" ht="15.75" customHeight="1" x14ac:dyDescent="0.2">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spans="1:26" ht="15.75" customHeight="1" x14ac:dyDescent="0.2">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spans="1:26" ht="15.75" customHeight="1" x14ac:dyDescent="0.2">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spans="1:26" ht="15.75" customHeight="1" x14ac:dyDescent="0.2">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spans="1:26" ht="15.75" customHeight="1" x14ac:dyDescent="0.2">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spans="1:26" ht="15.75" customHeight="1" x14ac:dyDescent="0.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spans="1:26" ht="15.75" customHeight="1" x14ac:dyDescent="0.2">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spans="1:26" ht="15.75" customHeight="1" x14ac:dyDescent="0.2">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spans="1:26" ht="15.75" customHeight="1" x14ac:dyDescent="0.2">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spans="1:26" ht="15.75" customHeight="1" x14ac:dyDescent="0.2">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spans="1:26" ht="15.75" customHeight="1" x14ac:dyDescent="0.2">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spans="1:26" ht="15.75" customHeight="1" x14ac:dyDescent="0.2">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spans="1:26" ht="15.75" customHeight="1" x14ac:dyDescent="0.2">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spans="1:26" ht="15.75" customHeight="1" x14ac:dyDescent="0.2">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spans="1:26" ht="15.75" customHeight="1" x14ac:dyDescent="0.2">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spans="1:26" ht="15.75" customHeight="1" x14ac:dyDescent="0.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spans="1:26" ht="15.75" customHeight="1" x14ac:dyDescent="0.2">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spans="1:26" ht="15.75" customHeight="1" x14ac:dyDescent="0.2">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spans="1:26" ht="15.75" customHeight="1" x14ac:dyDescent="0.2">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spans="1:26" ht="15.75" customHeight="1" x14ac:dyDescent="0.2">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spans="1:26" ht="15.75" customHeight="1" x14ac:dyDescent="0.2">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spans="1:26" ht="15.75" customHeight="1" x14ac:dyDescent="0.2">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spans="1:26" ht="15.75" customHeight="1" x14ac:dyDescent="0.2">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spans="1:26" ht="15.75" customHeight="1" x14ac:dyDescent="0.2">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spans="1:26" ht="15.75" customHeight="1" x14ac:dyDescent="0.2">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spans="1:26" ht="15.75" customHeight="1" x14ac:dyDescent="0.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spans="1:26" ht="15.75" customHeight="1" x14ac:dyDescent="0.2">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spans="1:26" ht="15.75" customHeight="1" x14ac:dyDescent="0.2">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spans="1:26" ht="15.75" customHeight="1" x14ac:dyDescent="0.2">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spans="1:26" ht="15.75" customHeight="1" x14ac:dyDescent="0.2">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spans="1:26" ht="15.75" customHeight="1" x14ac:dyDescent="0.2">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spans="1:26" ht="15.75" customHeight="1" x14ac:dyDescent="0.2">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spans="1:26" ht="15.75" customHeight="1" x14ac:dyDescent="0.2">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spans="1:26" ht="15.75" customHeight="1" x14ac:dyDescent="0.2">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spans="1:26" ht="15.75" customHeight="1" x14ac:dyDescent="0.2">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spans="1:26" ht="15.75" customHeight="1" x14ac:dyDescent="0.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spans="1:26" ht="15.75" customHeight="1" x14ac:dyDescent="0.2">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spans="1:26" ht="15.75" customHeight="1" x14ac:dyDescent="0.2">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spans="1:26" ht="15.75" customHeight="1" x14ac:dyDescent="0.2">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spans="1:26" ht="15.75" customHeight="1" x14ac:dyDescent="0.2">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spans="1:26" ht="15.75" customHeight="1" x14ac:dyDescent="0.2">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spans="1:26" ht="15.75" customHeight="1" x14ac:dyDescent="0.2">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spans="1:26" ht="15.75" customHeight="1" x14ac:dyDescent="0.2">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spans="1:26" ht="15.75" customHeight="1" x14ac:dyDescent="0.2">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spans="1:26" ht="15.75" customHeight="1" x14ac:dyDescent="0.2">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spans="1:26" ht="15.75" customHeight="1" x14ac:dyDescent="0.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spans="1:26" ht="15.75" customHeight="1" x14ac:dyDescent="0.2">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spans="1:26" ht="15.75" customHeight="1" x14ac:dyDescent="0.2">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spans="1:26" ht="15.75" customHeight="1" x14ac:dyDescent="0.2">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spans="1:26" ht="15.75" customHeight="1" x14ac:dyDescent="0.2">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spans="1:26" ht="15.75" customHeight="1" x14ac:dyDescent="0.2">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spans="1:26" ht="15.75" customHeight="1" x14ac:dyDescent="0.2">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spans="1:26" ht="15.75" customHeight="1" x14ac:dyDescent="0.2">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spans="1:26" ht="15.75" customHeight="1" x14ac:dyDescent="0.2">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spans="1:26" ht="15.75" customHeight="1" x14ac:dyDescent="0.2">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spans="1:26" ht="15.75" customHeight="1" x14ac:dyDescent="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spans="1:26" ht="15.75" customHeight="1" x14ac:dyDescent="0.2">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spans="1:26" ht="15.75" customHeight="1" x14ac:dyDescent="0.2">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spans="1:26" ht="15.75" customHeight="1" x14ac:dyDescent="0.2">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spans="1:26" ht="15.75" customHeight="1" x14ac:dyDescent="0.2">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spans="1:26" ht="15.75" customHeight="1" x14ac:dyDescent="0.2">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spans="1:26" ht="15.75" customHeight="1" x14ac:dyDescent="0.2">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spans="1:26" ht="15.75" customHeight="1" x14ac:dyDescent="0.2">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spans="1:26" ht="15.75" customHeight="1" x14ac:dyDescent="0.2">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spans="1:26" ht="15.75" customHeight="1" x14ac:dyDescent="0.2">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spans="1:26" ht="15.75" customHeight="1" x14ac:dyDescent="0.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spans="1:26" ht="15.75" customHeight="1" x14ac:dyDescent="0.2">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spans="1:26" ht="15.75" customHeight="1" x14ac:dyDescent="0.2">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spans="1:26" ht="15.75" customHeight="1" x14ac:dyDescent="0.2">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spans="1:26" ht="15.75" customHeight="1" x14ac:dyDescent="0.2">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spans="1:26" ht="15.75" customHeight="1" x14ac:dyDescent="0.2">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spans="1:26" ht="15.75" customHeight="1" x14ac:dyDescent="0.2">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spans="1:26" ht="15.75" customHeight="1" x14ac:dyDescent="0.2">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spans="1:26" ht="15.75" customHeight="1" x14ac:dyDescent="0.2">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spans="1:26" ht="15.75" customHeight="1" x14ac:dyDescent="0.2">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spans="1:26" ht="15.75" customHeight="1" x14ac:dyDescent="0.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spans="1:26" ht="15.75" customHeight="1" x14ac:dyDescent="0.2">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spans="1:26" ht="15.75" customHeight="1" x14ac:dyDescent="0.2">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spans="1:26" ht="15.75" customHeight="1" x14ac:dyDescent="0.2">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spans="1:26" ht="15.75" customHeight="1" x14ac:dyDescent="0.2">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spans="1:26" ht="15.75" customHeight="1" x14ac:dyDescent="0.2">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spans="1:26" ht="15.75" customHeight="1" x14ac:dyDescent="0.2">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spans="1:26" ht="15.75" customHeight="1" x14ac:dyDescent="0.2">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spans="1:26" ht="15.75" customHeight="1" x14ac:dyDescent="0.2">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spans="1:26" ht="15.75" customHeight="1" x14ac:dyDescent="0.2">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spans="1:26" ht="15.75" customHeight="1" x14ac:dyDescent="0.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spans="1:26" ht="15.75" customHeight="1" x14ac:dyDescent="0.2">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spans="1:26" ht="15.75" customHeight="1" x14ac:dyDescent="0.2">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spans="1:26" ht="15.75" customHeight="1" x14ac:dyDescent="0.2">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spans="1:26" ht="15.75" customHeight="1" x14ac:dyDescent="0.2">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spans="1:26" ht="15.75" customHeight="1" x14ac:dyDescent="0.2">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spans="1:26" ht="15.75" customHeight="1" x14ac:dyDescent="0.2">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spans="1:26" ht="15.75" customHeight="1" x14ac:dyDescent="0.2">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spans="1:26" ht="15.75" customHeight="1" x14ac:dyDescent="0.2">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spans="1:26" ht="15.75" customHeight="1" x14ac:dyDescent="0.2">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spans="1:26" ht="15.75" customHeight="1" x14ac:dyDescent="0.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spans="1:26" ht="15.75" customHeight="1" x14ac:dyDescent="0.2">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spans="1:26" ht="15.75" customHeight="1" x14ac:dyDescent="0.2">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spans="1:26" ht="15.75" customHeight="1" x14ac:dyDescent="0.2">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spans="1:26" ht="15.75" customHeight="1" x14ac:dyDescent="0.2">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spans="1:26" ht="15.75" customHeight="1" x14ac:dyDescent="0.2">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spans="1:26" ht="15.75" customHeight="1" x14ac:dyDescent="0.2">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spans="1:26" ht="15.75" customHeight="1" x14ac:dyDescent="0.2">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spans="1:26" ht="15.75" customHeight="1" x14ac:dyDescent="0.2">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spans="1:26" ht="15.75" customHeight="1" x14ac:dyDescent="0.2">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spans="1:26" ht="15.75" customHeight="1" x14ac:dyDescent="0.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spans="1:26" ht="15.75" customHeight="1" x14ac:dyDescent="0.2">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spans="1:26" ht="15.75" customHeight="1" x14ac:dyDescent="0.2">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spans="1:26" ht="15.75" customHeight="1" x14ac:dyDescent="0.2">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spans="1:26" ht="15.75" customHeight="1" x14ac:dyDescent="0.2">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spans="1:26" ht="15.75" customHeight="1" x14ac:dyDescent="0.2">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spans="1:26" ht="15.75" customHeight="1" x14ac:dyDescent="0.2">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spans="1:26" ht="15.75" customHeight="1" x14ac:dyDescent="0.2">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spans="1:26" ht="15.75" customHeight="1" x14ac:dyDescent="0.2">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spans="1:26" ht="15.75" customHeight="1" x14ac:dyDescent="0.2">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spans="1:26" ht="15.75" customHeight="1" x14ac:dyDescent="0.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spans="1:26" ht="15.75" customHeight="1" x14ac:dyDescent="0.2">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spans="1:26" ht="15.75" customHeight="1" x14ac:dyDescent="0.2">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spans="1:26" ht="15.75" customHeight="1" x14ac:dyDescent="0.2">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spans="1:26" ht="15.75" customHeight="1" x14ac:dyDescent="0.2">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spans="1:26" ht="15.75" customHeight="1" x14ac:dyDescent="0.2">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spans="1:26" ht="15.75" customHeight="1" x14ac:dyDescent="0.2">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spans="1:26" ht="15.75" customHeight="1" x14ac:dyDescent="0.2">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spans="1:26" ht="15.75" customHeight="1" x14ac:dyDescent="0.2">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spans="1:26" ht="15.75" customHeight="1" x14ac:dyDescent="0.2">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spans="1:26" ht="15.75" customHeight="1" x14ac:dyDescent="0.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spans="1:26" ht="15.75" customHeight="1" x14ac:dyDescent="0.2">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spans="1:26" ht="15.75" customHeight="1" x14ac:dyDescent="0.2">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spans="1:26" ht="15.75" customHeight="1" x14ac:dyDescent="0.2">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spans="1:26" ht="15.75" customHeight="1" x14ac:dyDescent="0.2">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spans="1:26" ht="15.75" customHeight="1" x14ac:dyDescent="0.2">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spans="1:26" ht="15.75" customHeight="1" x14ac:dyDescent="0.2">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spans="1:26" ht="15.75" customHeight="1" x14ac:dyDescent="0.2">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spans="1:26" ht="15.75" customHeight="1" x14ac:dyDescent="0.2">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spans="1:26" ht="15.75" customHeight="1" x14ac:dyDescent="0.2">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spans="1:26" ht="15.75" customHeight="1" x14ac:dyDescent="0.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spans="1:26" ht="15.75" customHeight="1" x14ac:dyDescent="0.2">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spans="1:26" ht="15.75" customHeight="1" x14ac:dyDescent="0.2">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spans="1:26" ht="15.75" customHeight="1" x14ac:dyDescent="0.2">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spans="1:26" ht="15.75" customHeight="1" x14ac:dyDescent="0.2">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spans="1:26" ht="15.75" customHeight="1" x14ac:dyDescent="0.2">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spans="1:26" ht="15.75" customHeight="1" x14ac:dyDescent="0.2">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spans="1:26" ht="15.75" customHeight="1" x14ac:dyDescent="0.2">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spans="1:26" ht="15.75" customHeight="1" x14ac:dyDescent="0.2">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spans="1:26" ht="15.75" customHeight="1" x14ac:dyDescent="0.2">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spans="1:26" ht="15.75" customHeight="1" x14ac:dyDescent="0.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spans="1:26" ht="15.75" customHeight="1" x14ac:dyDescent="0.2">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spans="1:26" ht="15.75" customHeight="1" x14ac:dyDescent="0.2">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spans="1:26" ht="15.75" customHeight="1" x14ac:dyDescent="0.2">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spans="1:26" ht="15.75" customHeight="1" x14ac:dyDescent="0.2">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spans="1:26" ht="15.75" customHeight="1" x14ac:dyDescent="0.2">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spans="1:26" ht="15.75" customHeight="1" x14ac:dyDescent="0.2">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spans="1:26" ht="15.75" customHeight="1" x14ac:dyDescent="0.2">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spans="1:26" ht="15.75" customHeight="1" x14ac:dyDescent="0.2">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spans="1:26" ht="15.75" customHeight="1" x14ac:dyDescent="0.2">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spans="1:26" ht="15.75" customHeight="1" x14ac:dyDescent="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spans="1:26" ht="15.75" customHeight="1" x14ac:dyDescent="0.2">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spans="1:26" ht="15.75" customHeight="1" x14ac:dyDescent="0.2">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spans="1:26" ht="15.75" customHeight="1" x14ac:dyDescent="0.2">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spans="1:26" ht="15.75" customHeight="1" x14ac:dyDescent="0.2">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spans="1:26" ht="15.75" customHeight="1" x14ac:dyDescent="0.2">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spans="1:26" ht="15.75" customHeight="1" x14ac:dyDescent="0.2">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spans="1:26" ht="15.75" customHeight="1" x14ac:dyDescent="0.2">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spans="1:26" ht="15.75" customHeight="1" x14ac:dyDescent="0.2">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spans="1:26" ht="15.75" customHeight="1" x14ac:dyDescent="0.2">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spans="1:26" ht="15.75" customHeight="1" x14ac:dyDescent="0.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spans="1:26" ht="15.75" customHeight="1" x14ac:dyDescent="0.2">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spans="1:26" ht="15.75" customHeight="1" x14ac:dyDescent="0.2">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spans="1:26" ht="15.75" customHeight="1" x14ac:dyDescent="0.2">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spans="1:26" ht="15.75" customHeight="1" x14ac:dyDescent="0.2">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spans="1:26" ht="15.75" customHeight="1" x14ac:dyDescent="0.2">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spans="1:26" ht="15.75" customHeight="1" x14ac:dyDescent="0.2">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spans="1:26" ht="15.75" customHeight="1" x14ac:dyDescent="0.2">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spans="1:26" ht="15.75" customHeight="1" x14ac:dyDescent="0.2">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spans="1:26" ht="15.75" customHeight="1" x14ac:dyDescent="0.2">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spans="1:26" ht="15.75" customHeight="1" x14ac:dyDescent="0.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spans="1:26" ht="15.75" customHeight="1" x14ac:dyDescent="0.2">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spans="1:26" ht="15.75" customHeight="1" x14ac:dyDescent="0.2">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spans="1:26" ht="15.75" customHeight="1" x14ac:dyDescent="0.2">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spans="1:26" ht="15.75" customHeight="1" x14ac:dyDescent="0.2">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spans="1:26" ht="15.75" customHeight="1" x14ac:dyDescent="0.2">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spans="1:26" ht="15.75" customHeight="1" x14ac:dyDescent="0.2">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spans="1:26" ht="15.75" customHeight="1" x14ac:dyDescent="0.2">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spans="1:26" ht="15.75" customHeight="1" x14ac:dyDescent="0.2">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spans="1:26" ht="15.75" customHeight="1" x14ac:dyDescent="0.2">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spans="1:26" ht="15.75" customHeight="1" x14ac:dyDescent="0.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spans="1:26" ht="15.75" customHeight="1" x14ac:dyDescent="0.2">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spans="1:26" ht="15.75" customHeight="1" x14ac:dyDescent="0.2">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spans="1:26" ht="15.75" customHeight="1" x14ac:dyDescent="0.2">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spans="1:26" ht="15.75" customHeight="1" x14ac:dyDescent="0.2">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spans="1:26" ht="15.75" customHeight="1" x14ac:dyDescent="0.2">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spans="1:26" ht="15.75" customHeight="1" x14ac:dyDescent="0.2">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spans="1:26" ht="15.75" customHeight="1" x14ac:dyDescent="0.2">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spans="1:26" ht="15.75" customHeight="1" x14ac:dyDescent="0.2">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spans="1:26" ht="15.75" customHeight="1" x14ac:dyDescent="0.2">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spans="1:26" ht="15.75" customHeight="1" x14ac:dyDescent="0.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spans="1:26" ht="15.75" customHeight="1" x14ac:dyDescent="0.2">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spans="1:26" ht="15.75" customHeight="1" x14ac:dyDescent="0.2">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spans="1:26" ht="15.75" customHeight="1" x14ac:dyDescent="0.2">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spans="1:26" ht="15.75" customHeight="1" x14ac:dyDescent="0.2">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spans="1:26" ht="15.75" customHeight="1" x14ac:dyDescent="0.2">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spans="1:26" ht="15.75" customHeight="1" x14ac:dyDescent="0.2">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spans="1:26" ht="15.75" customHeight="1" x14ac:dyDescent="0.2">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spans="1:26" ht="15.75" customHeight="1" x14ac:dyDescent="0.2">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spans="1:26" ht="15.75" customHeight="1" x14ac:dyDescent="0.2">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spans="1:26" ht="15.75" customHeight="1" x14ac:dyDescent="0.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spans="1:26" ht="15.75" customHeight="1" x14ac:dyDescent="0.2">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spans="1:26" ht="15.75" customHeight="1" x14ac:dyDescent="0.2">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spans="1:26" ht="15.75" customHeight="1" x14ac:dyDescent="0.2">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spans="1:26" ht="15.75" customHeight="1" x14ac:dyDescent="0.2">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spans="1:26" ht="15.75" customHeight="1" x14ac:dyDescent="0.2">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spans="1:26" ht="15.75" customHeight="1" x14ac:dyDescent="0.2">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spans="1:26" ht="15.75" customHeight="1" x14ac:dyDescent="0.2">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spans="1:26" ht="15.75" customHeight="1" x14ac:dyDescent="0.2">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spans="1:26" ht="15.75" customHeight="1" x14ac:dyDescent="0.2">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spans="1:26" ht="15.75" customHeight="1" x14ac:dyDescent="0.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spans="1:26" ht="15.75" customHeight="1" x14ac:dyDescent="0.2">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spans="1:26" ht="15.75" customHeight="1" x14ac:dyDescent="0.2">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spans="1:26" ht="15.75" customHeight="1" x14ac:dyDescent="0.2">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spans="1:26" ht="15.75" customHeight="1" x14ac:dyDescent="0.2">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spans="1:26" ht="15.75" customHeight="1" x14ac:dyDescent="0.2">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spans="1:26" ht="15.75" customHeight="1" x14ac:dyDescent="0.2">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spans="1:26" ht="15.75" customHeight="1" x14ac:dyDescent="0.2">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spans="1:26" ht="15.75" customHeight="1" x14ac:dyDescent="0.2">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spans="1:26" ht="15.75" customHeight="1" x14ac:dyDescent="0.2">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spans="1:26" ht="15.75" customHeight="1" x14ac:dyDescent="0.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spans="1:26" ht="15.75" customHeight="1" x14ac:dyDescent="0.2">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spans="1:26" ht="15.75" customHeight="1" x14ac:dyDescent="0.2">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spans="1:26" ht="15.75" customHeight="1" x14ac:dyDescent="0.2">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spans="1:26" ht="15.75" customHeight="1" x14ac:dyDescent="0.2">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spans="1:26" ht="15.75" customHeight="1" x14ac:dyDescent="0.2">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spans="1:26" ht="15.75" customHeight="1" x14ac:dyDescent="0.2">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spans="1:26" ht="15.75" customHeight="1" x14ac:dyDescent="0.2">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spans="1:26" ht="15.75" customHeight="1" x14ac:dyDescent="0.2">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spans="1:26" ht="15.75" customHeight="1" x14ac:dyDescent="0.2">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spans="1:26" ht="15.75" customHeight="1" x14ac:dyDescent="0.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spans="1:26" ht="15.75" customHeight="1" x14ac:dyDescent="0.2">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spans="1:26" ht="15.75" customHeight="1" x14ac:dyDescent="0.2">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spans="1:26" ht="15.75" customHeight="1" x14ac:dyDescent="0.2">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spans="1:26" ht="15.75" customHeight="1" x14ac:dyDescent="0.2">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spans="1:26" ht="15.75" customHeight="1" x14ac:dyDescent="0.2">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spans="1:26" ht="15.75" customHeight="1" x14ac:dyDescent="0.2">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spans="1:26" ht="15.75" customHeight="1" x14ac:dyDescent="0.2">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spans="1:26" ht="15.75" customHeight="1" x14ac:dyDescent="0.2">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spans="1:26" ht="15.75" customHeight="1" x14ac:dyDescent="0.2">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spans="1:26" ht="15.75" customHeight="1" x14ac:dyDescent="0.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spans="1:26" ht="15.75" customHeight="1" x14ac:dyDescent="0.2">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spans="1:26" ht="15.75" customHeight="1" x14ac:dyDescent="0.2">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spans="1:26" ht="15.75" customHeight="1" x14ac:dyDescent="0.2">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spans="1:26" ht="15.75" customHeight="1" x14ac:dyDescent="0.2">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spans="1:26" ht="15.75" customHeight="1" x14ac:dyDescent="0.2">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spans="1:26" ht="15.75" customHeight="1" x14ac:dyDescent="0.2">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spans="1:26" ht="15.75" customHeight="1" x14ac:dyDescent="0.2">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spans="1:26" ht="15.75" customHeight="1" x14ac:dyDescent="0.2">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spans="1:26" ht="15.75" customHeight="1" x14ac:dyDescent="0.2">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spans="1:26" ht="15.75" customHeight="1" x14ac:dyDescent="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spans="1:26" ht="15.75" customHeight="1" x14ac:dyDescent="0.2">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spans="1:26" ht="15.75" customHeight="1" x14ac:dyDescent="0.2">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spans="1:26" ht="15.75" customHeight="1" x14ac:dyDescent="0.2">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spans="1:26" ht="15.75" customHeight="1" x14ac:dyDescent="0.2">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spans="1:26" ht="15.75" customHeight="1" x14ac:dyDescent="0.2">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spans="1:26" ht="15.75" customHeight="1" x14ac:dyDescent="0.2">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spans="1:26" ht="15.75" customHeight="1" x14ac:dyDescent="0.2">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spans="1:26" ht="15.75" customHeight="1" x14ac:dyDescent="0.2">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spans="1:26" ht="15.75" customHeight="1" x14ac:dyDescent="0.2">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spans="1:26" ht="15.75" customHeight="1" x14ac:dyDescent="0.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spans="1:26" ht="15.75" customHeight="1" x14ac:dyDescent="0.2">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spans="1:26" ht="15.75" customHeight="1" x14ac:dyDescent="0.2">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spans="1:26" ht="15.75" customHeight="1" x14ac:dyDescent="0.2">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spans="1:26" ht="15.75" customHeight="1" x14ac:dyDescent="0.2">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spans="1:26" ht="15.75" customHeight="1" x14ac:dyDescent="0.2">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spans="1:26" ht="15.75" customHeight="1" x14ac:dyDescent="0.2">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spans="1:26" ht="15.75" customHeight="1" x14ac:dyDescent="0.2">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spans="1:26" ht="15.75" customHeight="1" x14ac:dyDescent="0.2">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spans="1:26" ht="15.75" customHeight="1" x14ac:dyDescent="0.2">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spans="1:26" ht="15.75" customHeight="1" x14ac:dyDescent="0.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spans="1:26" ht="15.75" customHeight="1" x14ac:dyDescent="0.2">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spans="1:26" ht="15.75" customHeight="1" x14ac:dyDescent="0.2">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spans="1:26" ht="15.75" customHeight="1" x14ac:dyDescent="0.2">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spans="1:26" ht="15.75" customHeight="1" x14ac:dyDescent="0.2">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spans="1:26" ht="15.75" customHeight="1" x14ac:dyDescent="0.2">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spans="1:26" ht="15.75" customHeight="1" x14ac:dyDescent="0.2">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spans="1:26" ht="15.75" customHeight="1" x14ac:dyDescent="0.2">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spans="1:26" ht="15.75" customHeight="1" x14ac:dyDescent="0.2">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spans="1:26" ht="15.75" customHeight="1" x14ac:dyDescent="0.2">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spans="1:26" ht="15.75" customHeight="1" x14ac:dyDescent="0.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spans="1:26" ht="15.75" customHeight="1" x14ac:dyDescent="0.2">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spans="1:26" ht="15.75" customHeight="1" x14ac:dyDescent="0.2">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spans="1:26" ht="15.75" customHeight="1" x14ac:dyDescent="0.2">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spans="1:26" ht="15.75" customHeight="1" x14ac:dyDescent="0.2">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spans="1:26" ht="15.75" customHeight="1" x14ac:dyDescent="0.2">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spans="1:26" ht="15.75" customHeight="1" x14ac:dyDescent="0.2">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spans="1:26" ht="15.75" customHeight="1" x14ac:dyDescent="0.2">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spans="1:26" ht="15.75" customHeight="1" x14ac:dyDescent="0.2">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spans="1:26" ht="15.75" customHeight="1" x14ac:dyDescent="0.2">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spans="1:26" ht="15.75" customHeight="1" x14ac:dyDescent="0.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spans="1:26" ht="15.75" customHeight="1" x14ac:dyDescent="0.2">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spans="1:26" ht="15.75" customHeight="1" x14ac:dyDescent="0.2">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spans="1:26" ht="15.75" customHeight="1" x14ac:dyDescent="0.2">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spans="1:26" ht="15.75" customHeight="1" x14ac:dyDescent="0.2">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spans="1:26" ht="15.75" customHeight="1" x14ac:dyDescent="0.2">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spans="1:26" ht="15.75" customHeight="1" x14ac:dyDescent="0.2">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spans="1:26" ht="15.75" customHeight="1" x14ac:dyDescent="0.2">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spans="1:26" ht="15.75" customHeight="1" x14ac:dyDescent="0.2">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spans="1:26" ht="15.75" customHeight="1" x14ac:dyDescent="0.2">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spans="1:26" ht="15.75" customHeight="1" x14ac:dyDescent="0.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spans="1:26" ht="15.75" customHeight="1" x14ac:dyDescent="0.2">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spans="1:26" ht="15.75" customHeight="1" x14ac:dyDescent="0.2">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spans="1:26" ht="15.75" customHeight="1" x14ac:dyDescent="0.2">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spans="1:26" ht="15.75" customHeight="1" x14ac:dyDescent="0.2">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spans="1:26" ht="15.75" customHeight="1" x14ac:dyDescent="0.2">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spans="1:26" ht="15.75" customHeight="1" x14ac:dyDescent="0.2">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spans="1:26" ht="15.75" customHeight="1" x14ac:dyDescent="0.2">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spans="1:26" ht="15.75" customHeight="1" x14ac:dyDescent="0.2">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spans="1:26" ht="15.75" customHeight="1" x14ac:dyDescent="0.2">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spans="1:26" ht="15.75" customHeight="1" x14ac:dyDescent="0.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spans="1:26" ht="15.75" customHeight="1" x14ac:dyDescent="0.2">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spans="1:26" ht="15.75" customHeight="1" x14ac:dyDescent="0.2">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spans="1:26" ht="15.75" customHeight="1" x14ac:dyDescent="0.2">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spans="1:26" ht="15.75" customHeight="1" x14ac:dyDescent="0.2">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spans="1:26" ht="15.75" customHeight="1" x14ac:dyDescent="0.2">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spans="1:26" ht="15.75" customHeight="1" x14ac:dyDescent="0.2">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spans="1:26" ht="15.75" customHeight="1" x14ac:dyDescent="0.2">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spans="1:26" ht="15.75" customHeight="1" x14ac:dyDescent="0.2">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spans="1:26" ht="15.75" customHeight="1" x14ac:dyDescent="0.2">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spans="1:26" ht="15.75" customHeight="1" x14ac:dyDescent="0.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spans="1:26" ht="15.75" customHeight="1" x14ac:dyDescent="0.2">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spans="1:26" ht="15.75" customHeight="1" x14ac:dyDescent="0.2">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spans="1:26" ht="15.75" customHeight="1" x14ac:dyDescent="0.2">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spans="1:26" ht="15.75" customHeight="1" x14ac:dyDescent="0.2">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spans="1:26" ht="15.75" customHeight="1" x14ac:dyDescent="0.2">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spans="1:26" ht="15.75" customHeight="1" x14ac:dyDescent="0.2">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spans="1:26" ht="15.75" customHeight="1" x14ac:dyDescent="0.2">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spans="1:26" ht="15.75" customHeight="1" x14ac:dyDescent="0.2">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spans="1:26" ht="15.75" customHeight="1" x14ac:dyDescent="0.2">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spans="1:26" ht="15.75" customHeight="1" x14ac:dyDescent="0.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spans="1:26" ht="15.75" customHeight="1" x14ac:dyDescent="0.2">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spans="1:26" ht="15.75" customHeight="1" x14ac:dyDescent="0.2">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spans="1:26" ht="15.75" customHeight="1" x14ac:dyDescent="0.2">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spans="1:26" ht="15.75" customHeight="1" x14ac:dyDescent="0.2">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spans="1:26" ht="15.75" customHeight="1" x14ac:dyDescent="0.2">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spans="1:26" ht="15.75" customHeight="1" x14ac:dyDescent="0.2">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spans="1:26" ht="15.75" customHeight="1" x14ac:dyDescent="0.2">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spans="1:26" ht="15.75" customHeight="1" x14ac:dyDescent="0.2">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spans="1:26" ht="15.75" customHeight="1" x14ac:dyDescent="0.2">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spans="1:26" ht="15.75" customHeight="1" x14ac:dyDescent="0.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spans="1:26" ht="15.75" customHeight="1" x14ac:dyDescent="0.2">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spans="1:26" ht="15.75" customHeight="1" x14ac:dyDescent="0.2">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spans="1:26" ht="15.75" customHeight="1" x14ac:dyDescent="0.2">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spans="1:26" ht="15.75" customHeight="1" x14ac:dyDescent="0.2">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spans="1:26" ht="15.75" customHeight="1" x14ac:dyDescent="0.2">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spans="1:26" ht="15.75" customHeight="1" x14ac:dyDescent="0.2">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spans="1:26" ht="15.75" customHeight="1" x14ac:dyDescent="0.2">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spans="1:26" ht="15.75" customHeight="1" x14ac:dyDescent="0.2">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spans="1:26" ht="15.75" customHeight="1" x14ac:dyDescent="0.2">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spans="1:26" ht="15.75" customHeight="1" x14ac:dyDescent="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spans="1:26" ht="15.75" customHeight="1" x14ac:dyDescent="0.2">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spans="1:26" ht="15.75" customHeight="1" x14ac:dyDescent="0.2">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spans="1:26" ht="15.75" customHeight="1" x14ac:dyDescent="0.2">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spans="1:26" ht="15.75" customHeight="1" x14ac:dyDescent="0.2">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spans="1:26" ht="15.75" customHeight="1" x14ac:dyDescent="0.2">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spans="1:26" ht="15.75" customHeight="1" x14ac:dyDescent="0.2">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spans="1:26" ht="15.75" customHeight="1" x14ac:dyDescent="0.2">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spans="1:26" ht="15.75" customHeight="1" x14ac:dyDescent="0.2">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spans="1:26" ht="15.75" customHeight="1" x14ac:dyDescent="0.2">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spans="1:26" ht="15.75" customHeight="1" x14ac:dyDescent="0.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spans="1:26" ht="15.75" customHeight="1" x14ac:dyDescent="0.2">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spans="1:26" ht="15.75" customHeight="1" x14ac:dyDescent="0.2">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spans="1:26" ht="15.75" customHeight="1" x14ac:dyDescent="0.2">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spans="1:26" ht="15.75" customHeight="1" x14ac:dyDescent="0.2">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spans="1:26" ht="15.75" customHeight="1" x14ac:dyDescent="0.2">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spans="1:26" ht="15.75" customHeight="1" x14ac:dyDescent="0.2">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spans="1:26" ht="15.75" customHeight="1" x14ac:dyDescent="0.2">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spans="1:26" ht="15.75" customHeight="1" x14ac:dyDescent="0.2">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spans="1:26" ht="15.75" customHeight="1" x14ac:dyDescent="0.2">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spans="1:26" ht="15.75" customHeight="1" x14ac:dyDescent="0.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spans="1:26" ht="15.75" customHeight="1" x14ac:dyDescent="0.2">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spans="1:26" ht="15.75" customHeight="1" x14ac:dyDescent="0.2">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spans="1:26" ht="15.75" customHeight="1" x14ac:dyDescent="0.2">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spans="1:26" ht="15.75" customHeight="1" x14ac:dyDescent="0.2">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spans="1:26" ht="15.75" customHeight="1" x14ac:dyDescent="0.2">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spans="1:26" ht="15.75" customHeight="1" x14ac:dyDescent="0.2">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spans="1:26" ht="15.75" customHeight="1" x14ac:dyDescent="0.2">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spans="1:26" ht="15.75" customHeight="1" x14ac:dyDescent="0.2">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spans="1:26" ht="15.75" customHeight="1" x14ac:dyDescent="0.2">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spans="1:26" ht="15.75" customHeight="1" x14ac:dyDescent="0.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spans="1:26" ht="15.75" customHeight="1" x14ac:dyDescent="0.2">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spans="1:26" ht="15.75" customHeight="1" x14ac:dyDescent="0.2">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spans="1:26" ht="15.75" customHeight="1" x14ac:dyDescent="0.2">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spans="1:26" ht="15.75" customHeight="1" x14ac:dyDescent="0.2">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spans="1:26" ht="15.75" customHeight="1" x14ac:dyDescent="0.2">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spans="1:26" ht="15.75" customHeight="1" x14ac:dyDescent="0.2">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spans="1:26" ht="15.75" customHeight="1" x14ac:dyDescent="0.2">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spans="1:26" ht="15.75" customHeight="1" x14ac:dyDescent="0.2">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spans="1:26" ht="15.75" customHeight="1" x14ac:dyDescent="0.2">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spans="1:26" ht="15.75" customHeight="1" x14ac:dyDescent="0.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spans="1:26" ht="15.75" customHeight="1" x14ac:dyDescent="0.2">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spans="1:26" ht="15.75" customHeight="1" x14ac:dyDescent="0.2">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spans="1:26" ht="15.75" customHeight="1" x14ac:dyDescent="0.2">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spans="1:26" ht="15.75" customHeight="1" x14ac:dyDescent="0.2">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spans="1:26" ht="15.75" customHeight="1" x14ac:dyDescent="0.2">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spans="1:26" ht="15.75" customHeight="1" x14ac:dyDescent="0.2">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spans="1:26" ht="15.75" customHeight="1" x14ac:dyDescent="0.2">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spans="1:26" ht="15.75" customHeight="1" x14ac:dyDescent="0.2">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spans="1:26" ht="15.75" customHeight="1" x14ac:dyDescent="0.2">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spans="1:26" ht="15.75" customHeight="1" x14ac:dyDescent="0.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spans="1:26" ht="15.75" customHeight="1" x14ac:dyDescent="0.2">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spans="1:26" ht="15.75" customHeight="1" x14ac:dyDescent="0.2">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spans="1:26" ht="15.75" customHeight="1" x14ac:dyDescent="0.2">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spans="1:26" ht="15.75" customHeight="1" x14ac:dyDescent="0.2">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spans="1:26" ht="15.75" customHeight="1" x14ac:dyDescent="0.2">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spans="1:26" ht="15.75" customHeight="1" x14ac:dyDescent="0.2">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spans="1:26" ht="15.75" customHeight="1" x14ac:dyDescent="0.2">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spans="1:26" ht="15.75" customHeight="1" x14ac:dyDescent="0.2">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spans="1:26" ht="15.75" customHeight="1" x14ac:dyDescent="0.2">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spans="1:26" ht="15.75" customHeight="1" x14ac:dyDescent="0.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spans="1:26" ht="15.75" customHeight="1" x14ac:dyDescent="0.2">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spans="1:26" ht="15.75" customHeight="1" x14ac:dyDescent="0.2">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spans="1:26" ht="15.75" customHeight="1" x14ac:dyDescent="0.2">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spans="1:26" ht="15.75" customHeight="1" x14ac:dyDescent="0.2">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spans="1:26" ht="15.75" customHeight="1" x14ac:dyDescent="0.2">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spans="1:26" ht="15.75" customHeight="1" x14ac:dyDescent="0.2">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spans="1:26" ht="15.75" customHeight="1" x14ac:dyDescent="0.2">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spans="1:26" ht="15.75" customHeight="1" x14ac:dyDescent="0.2">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spans="1:26" ht="15.75" customHeight="1" x14ac:dyDescent="0.2">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spans="1:26" ht="15.75" customHeight="1" x14ac:dyDescent="0.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spans="1:26" ht="15.75" customHeight="1" x14ac:dyDescent="0.2">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spans="1:26" ht="15.75" customHeight="1" x14ac:dyDescent="0.2">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spans="1:26" ht="15.75" customHeight="1" x14ac:dyDescent="0.2">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spans="1:26" ht="15.75" customHeight="1" x14ac:dyDescent="0.2">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spans="1:26" ht="15.75" customHeight="1" x14ac:dyDescent="0.2">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spans="1:26" ht="15.75" customHeight="1" x14ac:dyDescent="0.2">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spans="1:26" ht="15.75" customHeight="1" x14ac:dyDescent="0.2">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spans="1:26" ht="15.75" customHeight="1" x14ac:dyDescent="0.2">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spans="1:26" ht="15.75" customHeight="1" x14ac:dyDescent="0.2">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spans="1:26" ht="15.75" customHeight="1" x14ac:dyDescent="0.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spans="1:26" ht="15.75" customHeight="1" x14ac:dyDescent="0.2">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spans="1:26" ht="15.75" customHeight="1" x14ac:dyDescent="0.2">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spans="1:26" ht="15.75" customHeight="1" x14ac:dyDescent="0.2">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spans="1:26" ht="15.75" customHeight="1" x14ac:dyDescent="0.2">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spans="1:26" ht="15.75" customHeight="1" x14ac:dyDescent="0.2">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spans="1:26" ht="15.75" customHeight="1" x14ac:dyDescent="0.2">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spans="1:26" ht="15.75" customHeight="1" x14ac:dyDescent="0.2">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spans="1:26" ht="15.75" customHeight="1" x14ac:dyDescent="0.2">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spans="1:26" ht="15.75" customHeight="1" x14ac:dyDescent="0.2">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spans="1:26" ht="15.75" customHeight="1" x14ac:dyDescent="0.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spans="1:26" ht="15.75" customHeight="1" x14ac:dyDescent="0.2">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spans="1:26" ht="15.75" customHeight="1" x14ac:dyDescent="0.2">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spans="1:26" ht="15.75" customHeight="1" x14ac:dyDescent="0.2">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spans="1:26" ht="15.75" customHeight="1" x14ac:dyDescent="0.2">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spans="1:26" ht="15.75" customHeight="1" x14ac:dyDescent="0.2">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spans="1:26" ht="15.75" customHeight="1" x14ac:dyDescent="0.2">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spans="1:26" ht="15.75" customHeight="1" x14ac:dyDescent="0.2">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spans="1:26" ht="15.75" customHeight="1" x14ac:dyDescent="0.2">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spans="1:26" ht="15.75" customHeight="1" x14ac:dyDescent="0.2">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spans="1:26" ht="15.75" customHeight="1" x14ac:dyDescent="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spans="1:26" ht="15.75" customHeight="1" x14ac:dyDescent="0.2">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spans="1:26" ht="15.75" customHeight="1" x14ac:dyDescent="0.2">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spans="1:26" ht="15.75" customHeight="1" x14ac:dyDescent="0.2">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spans="1:26" ht="15.75" customHeight="1" x14ac:dyDescent="0.2">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spans="1:26" ht="15.75" customHeight="1" x14ac:dyDescent="0.2">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spans="1:26" ht="15.75" customHeight="1" x14ac:dyDescent="0.2">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spans="1:26" ht="15.75" customHeight="1" x14ac:dyDescent="0.2">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spans="1:26" ht="15.75" customHeight="1" x14ac:dyDescent="0.2">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spans="1:26" ht="15.75" customHeight="1" x14ac:dyDescent="0.2">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spans="1:26" ht="15.75" customHeight="1" x14ac:dyDescent="0.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spans="1:26" ht="15.75" customHeight="1" x14ac:dyDescent="0.2">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spans="1:26" ht="15.75" customHeight="1" x14ac:dyDescent="0.2">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spans="1:26" ht="15.75" customHeight="1" x14ac:dyDescent="0.2">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spans="1:26" ht="15.75" customHeight="1" x14ac:dyDescent="0.2">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spans="1:26" ht="15.75" customHeight="1" x14ac:dyDescent="0.2">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spans="1:26" ht="15.75" customHeight="1" x14ac:dyDescent="0.2">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spans="1:26" ht="15.75" customHeight="1" x14ac:dyDescent="0.2">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spans="1:26" ht="15.75" customHeight="1" x14ac:dyDescent="0.2">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spans="1:26" ht="15.75" customHeight="1" x14ac:dyDescent="0.2">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spans="1:26" ht="15.75" customHeight="1" x14ac:dyDescent="0.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spans="1:26" ht="15.75" customHeight="1" x14ac:dyDescent="0.2">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spans="1:26" ht="15.75" customHeight="1" x14ac:dyDescent="0.2">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spans="1:26" ht="15.75" customHeight="1" x14ac:dyDescent="0.2">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spans="1:26" ht="15.75" customHeight="1" x14ac:dyDescent="0.2">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spans="1:26" ht="15.75" customHeight="1" x14ac:dyDescent="0.2">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spans="1:26" ht="15.75" customHeight="1" x14ac:dyDescent="0.2">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spans="1:26" ht="15.75" customHeight="1" x14ac:dyDescent="0.2">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spans="1:26" ht="15.75" customHeight="1" x14ac:dyDescent="0.2">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spans="1:26" ht="15.75" customHeight="1" x14ac:dyDescent="0.2">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spans="1:26" ht="15.75" customHeight="1" x14ac:dyDescent="0.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spans="1:26" ht="15.75" customHeight="1" x14ac:dyDescent="0.2">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spans="1:26" ht="15.75" customHeight="1" x14ac:dyDescent="0.2">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spans="1:26" ht="15.75" customHeight="1" x14ac:dyDescent="0.2">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spans="1:26" ht="15.75" customHeight="1" x14ac:dyDescent="0.2">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spans="1:26" ht="15.75" customHeight="1" x14ac:dyDescent="0.2">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spans="1:26" ht="15.75" customHeight="1" x14ac:dyDescent="0.2">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spans="1:26" ht="15.75" customHeight="1" x14ac:dyDescent="0.2">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spans="1:26" ht="15.75" customHeight="1" x14ac:dyDescent="0.2">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spans="1:26" ht="15.75" customHeight="1" x14ac:dyDescent="0.2">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spans="1:26" ht="15.75" customHeight="1" x14ac:dyDescent="0.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spans="1:26" ht="15.75" customHeight="1" x14ac:dyDescent="0.2">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spans="1:26" ht="15.75" customHeight="1" x14ac:dyDescent="0.2">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spans="1:26" ht="15.75" customHeight="1" x14ac:dyDescent="0.2">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spans="1:26" ht="15.75" customHeight="1" x14ac:dyDescent="0.2">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spans="1:26" ht="15.75" customHeight="1" x14ac:dyDescent="0.2">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spans="1:26" ht="15.75" customHeight="1" x14ac:dyDescent="0.2">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spans="1:26" ht="15.75" customHeight="1" x14ac:dyDescent="0.2">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spans="1:26" ht="15.75" customHeight="1" x14ac:dyDescent="0.2">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spans="1:26" ht="15.75" customHeight="1" x14ac:dyDescent="0.2">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spans="1:26" ht="15.75" customHeight="1" x14ac:dyDescent="0.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spans="1:26" ht="15.75" customHeight="1" x14ac:dyDescent="0.2">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spans="1:26" ht="15.75" customHeight="1" x14ac:dyDescent="0.2">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spans="1:26" ht="15.75" customHeight="1" x14ac:dyDescent="0.2">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spans="1:26" ht="15.75" customHeight="1" x14ac:dyDescent="0.2">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spans="1:26" ht="15.75" customHeight="1" x14ac:dyDescent="0.2">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spans="1:26" ht="15.75" customHeight="1" x14ac:dyDescent="0.2">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spans="1:26" ht="15.75" customHeight="1" x14ac:dyDescent="0.2">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spans="1:26" ht="15.75" customHeight="1" x14ac:dyDescent="0.2">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spans="1:26" ht="15.75" customHeight="1" x14ac:dyDescent="0.2">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spans="1:26" ht="15.75" customHeight="1" x14ac:dyDescent="0.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spans="1:26" ht="15.75" customHeight="1" x14ac:dyDescent="0.2">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spans="1:26" ht="15.75" customHeight="1" x14ac:dyDescent="0.2">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spans="1:26" ht="15.75" customHeight="1" x14ac:dyDescent="0.2">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spans="1:26" ht="15.75" customHeight="1" x14ac:dyDescent="0.2">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spans="1:26" ht="15.75" customHeight="1" x14ac:dyDescent="0.2">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spans="1:26" ht="15.75" customHeight="1" x14ac:dyDescent="0.2">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spans="1:26" ht="15.75" customHeight="1" x14ac:dyDescent="0.2">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spans="1:26" ht="15.75" customHeight="1" x14ac:dyDescent="0.2">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spans="1:26" ht="15.75" customHeight="1" x14ac:dyDescent="0.2">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spans="1:26" ht="15.75" customHeight="1" x14ac:dyDescent="0.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spans="1:26" ht="15.75" customHeight="1" x14ac:dyDescent="0.2">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spans="1:26" ht="15.75" customHeight="1" x14ac:dyDescent="0.2">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spans="1:26" ht="15.75" customHeight="1" x14ac:dyDescent="0.2">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spans="1:26" ht="15.75" customHeight="1" x14ac:dyDescent="0.2">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spans="1:26" ht="15.75" customHeight="1" x14ac:dyDescent="0.2">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spans="1:26" ht="15.75" customHeight="1" x14ac:dyDescent="0.2">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spans="1:26" ht="15.75" customHeight="1" x14ac:dyDescent="0.2">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spans="1:26" ht="15.75" customHeight="1" x14ac:dyDescent="0.2">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spans="1:26" ht="15.75" customHeight="1" x14ac:dyDescent="0.2">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spans="1:26" ht="15.75" customHeight="1" x14ac:dyDescent="0.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spans="1:26" ht="15.75" customHeight="1" x14ac:dyDescent="0.2">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spans="1:26" ht="15.75" customHeight="1" x14ac:dyDescent="0.2">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spans="1:26" ht="15.75" customHeight="1" x14ac:dyDescent="0.2">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spans="1:26" ht="15.75" customHeight="1" x14ac:dyDescent="0.2">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spans="1:26" ht="15.75" customHeight="1" x14ac:dyDescent="0.2">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spans="1:26" ht="15.75" customHeight="1" x14ac:dyDescent="0.2">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spans="1:26" ht="15.75" customHeight="1" x14ac:dyDescent="0.2">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spans="1:26" ht="15.75" customHeight="1" x14ac:dyDescent="0.2">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spans="1:26" ht="15.75" customHeight="1" x14ac:dyDescent="0.2">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spans="1:26" ht="15.75" customHeight="1" x14ac:dyDescent="0.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spans="1:26" ht="15.75" customHeight="1" x14ac:dyDescent="0.2">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spans="1:26" ht="15.75" customHeight="1" x14ac:dyDescent="0.2">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spans="1:26" ht="15.75" customHeight="1" x14ac:dyDescent="0.2">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spans="1:26" ht="15.75" customHeight="1" x14ac:dyDescent="0.2">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spans="1:26" ht="15.75" customHeight="1" x14ac:dyDescent="0.2">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spans="1:26" ht="15.75" customHeight="1" x14ac:dyDescent="0.2">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spans="1:26" ht="15.75" customHeight="1" x14ac:dyDescent="0.2">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spans="1:26" ht="15.75" customHeight="1" x14ac:dyDescent="0.2">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spans="1:26" ht="15.75" customHeight="1" x14ac:dyDescent="0.2">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spans="1:26" ht="15.75" customHeight="1" x14ac:dyDescent="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spans="1:26" ht="15.75" customHeight="1" x14ac:dyDescent="0.2">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spans="1:26" ht="15.75" customHeight="1" x14ac:dyDescent="0.2">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spans="1:26" ht="15.75" customHeight="1" x14ac:dyDescent="0.2">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spans="1:26" ht="15.75" customHeight="1" x14ac:dyDescent="0.2">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spans="1:26" ht="15.75" customHeight="1" x14ac:dyDescent="0.2">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spans="1:26" ht="15.75" customHeight="1" x14ac:dyDescent="0.2">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spans="1:26" ht="15.75" customHeight="1" x14ac:dyDescent="0.2">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spans="1:26" ht="15.75" customHeight="1" x14ac:dyDescent="0.2">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spans="1:26" ht="15.75" customHeight="1" x14ac:dyDescent="0.2">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spans="1:26" ht="15.75" customHeight="1" x14ac:dyDescent="0.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spans="1:26" ht="15.75" customHeight="1" x14ac:dyDescent="0.2">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spans="1:26" ht="15.75" customHeight="1" x14ac:dyDescent="0.2">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spans="1:26" ht="15.75" customHeight="1" x14ac:dyDescent="0.2">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spans="1:26" ht="15.75" customHeight="1" x14ac:dyDescent="0.2">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spans="1:26" ht="15.75" customHeight="1" x14ac:dyDescent="0.2">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spans="1:26" ht="15.75" customHeight="1" x14ac:dyDescent="0.2">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spans="1:26" ht="15.75" customHeight="1" x14ac:dyDescent="0.2">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spans="1:26" ht="15.75" customHeight="1" x14ac:dyDescent="0.2">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spans="1:26" ht="15.75" customHeight="1" x14ac:dyDescent="0.2">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spans="1:26" ht="15.75" customHeight="1" x14ac:dyDescent="0.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spans="1:26" ht="15.75" customHeight="1" x14ac:dyDescent="0.2">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spans="1:26" ht="15.75" customHeight="1" x14ac:dyDescent="0.2">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spans="1:26" ht="15.75" customHeight="1" x14ac:dyDescent="0.2">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spans="1:26" ht="15.75" customHeight="1" x14ac:dyDescent="0.2">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spans="1:26" ht="15.75" customHeight="1" x14ac:dyDescent="0.2">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spans="1:26" ht="15.75" customHeight="1" x14ac:dyDescent="0.2">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spans="1:26" ht="15.75" customHeight="1" x14ac:dyDescent="0.2">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spans="1:26" ht="15.75" customHeight="1" x14ac:dyDescent="0.2">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spans="1:26" ht="15.75" customHeight="1" x14ac:dyDescent="0.2">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spans="1:26" ht="15.75" customHeight="1" x14ac:dyDescent="0.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spans="1:26" ht="15.75" customHeight="1" x14ac:dyDescent="0.2">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spans="1:26" ht="15.75" customHeight="1" x14ac:dyDescent="0.2">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spans="1:26" ht="15.75" customHeight="1" x14ac:dyDescent="0.2">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spans="1:26" ht="15.75" customHeight="1" x14ac:dyDescent="0.2">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spans="1:26" ht="15.75" customHeight="1" x14ac:dyDescent="0.2">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spans="1:26" ht="15.75" customHeight="1" x14ac:dyDescent="0.2">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spans="1:26" ht="15.75" customHeight="1" x14ac:dyDescent="0.2">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spans="1:26" ht="15.75" customHeight="1" x14ac:dyDescent="0.2">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spans="1:26" ht="15.75" customHeight="1" x14ac:dyDescent="0.2">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spans="1:26" ht="15.75" customHeight="1" x14ac:dyDescent="0.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spans="1:26" ht="15.75" customHeight="1" x14ac:dyDescent="0.2">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spans="1:26" ht="15.75" customHeight="1" x14ac:dyDescent="0.2">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spans="1:26" ht="15.75" customHeight="1" x14ac:dyDescent="0.2">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spans="1:26" ht="15.75" customHeight="1" x14ac:dyDescent="0.2">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spans="1:26" ht="15.75" customHeight="1" x14ac:dyDescent="0.2">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spans="1:26" ht="15.75" customHeight="1" x14ac:dyDescent="0.2">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spans="1:26" ht="15.75" customHeight="1" x14ac:dyDescent="0.2">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spans="1:26" ht="15.75" customHeight="1" x14ac:dyDescent="0.2">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spans="1:26" ht="15.75" customHeight="1" x14ac:dyDescent="0.2">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spans="1:26" ht="15.75" customHeight="1" x14ac:dyDescent="0.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spans="1:26" ht="15.75" customHeight="1" x14ac:dyDescent="0.2">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spans="1:26" ht="15.75" customHeight="1" x14ac:dyDescent="0.2">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spans="1:26" ht="15.75" customHeight="1" x14ac:dyDescent="0.2">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spans="1:26" ht="15.75" customHeight="1" x14ac:dyDescent="0.2">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spans="1:26" ht="15.75" customHeight="1" x14ac:dyDescent="0.2">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spans="1:26" ht="15.75" customHeight="1" x14ac:dyDescent="0.2">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spans="1:26" ht="15.75" customHeight="1" x14ac:dyDescent="0.2">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spans="1:26" ht="15.75" customHeight="1" x14ac:dyDescent="0.2">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spans="1:26" ht="15.75" customHeight="1" x14ac:dyDescent="0.2">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spans="1:26" ht="15.75" customHeight="1" x14ac:dyDescent="0.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spans="1:26" ht="15.75" customHeight="1" x14ac:dyDescent="0.2">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spans="1:26" ht="15.75" customHeight="1" x14ac:dyDescent="0.2">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spans="1:26" ht="15.75" customHeight="1" x14ac:dyDescent="0.2">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spans="1:26" ht="15.75" customHeight="1" x14ac:dyDescent="0.2">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spans="1:26" ht="15.75" customHeight="1" x14ac:dyDescent="0.2">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spans="1:26" ht="15.75" customHeight="1" x14ac:dyDescent="0.2">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spans="1:26" ht="15.75" customHeight="1" x14ac:dyDescent="0.2">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spans="1:26" ht="15.75" customHeight="1" x14ac:dyDescent="0.2">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spans="1:26" ht="15.75" customHeight="1" x14ac:dyDescent="0.2">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spans="1:26" ht="15.75" customHeight="1" x14ac:dyDescent="0.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spans="1:26" ht="15.75" customHeight="1" x14ac:dyDescent="0.2">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spans="1:26" ht="15.75" customHeight="1" x14ac:dyDescent="0.2">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spans="1:26" ht="15.75" customHeight="1" x14ac:dyDescent="0.2">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spans="1:26" ht="15.75" customHeight="1" x14ac:dyDescent="0.2">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spans="1:26" ht="15.75" customHeight="1" x14ac:dyDescent="0.2">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spans="1:26" ht="15.75" customHeight="1" x14ac:dyDescent="0.2">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spans="1:26" ht="15.75" customHeight="1" x14ac:dyDescent="0.2">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spans="1:26" ht="15.75" customHeight="1" x14ac:dyDescent="0.2">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spans="1:26" ht="15.75" customHeight="1" x14ac:dyDescent="0.2">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spans="1:26" ht="15.75" customHeight="1" x14ac:dyDescent="0.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spans="1:26" ht="15.75" customHeight="1" x14ac:dyDescent="0.2">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spans="1:26" ht="15.75" customHeight="1" x14ac:dyDescent="0.2">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spans="1:26" ht="15.75" customHeight="1" x14ac:dyDescent="0.2">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spans="1:26" ht="15.75" customHeight="1" x14ac:dyDescent="0.2">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spans="1:26" ht="15.75" customHeight="1" x14ac:dyDescent="0.2">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spans="1:26" ht="15.75" customHeight="1" x14ac:dyDescent="0.2">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spans="1:26" ht="15.75" customHeight="1" x14ac:dyDescent="0.2">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spans="1:26" ht="15.75" customHeight="1" x14ac:dyDescent="0.2">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spans="1:26" ht="15.75" customHeight="1" x14ac:dyDescent="0.2">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spans="1:26" ht="15.75" customHeight="1" x14ac:dyDescent="0.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spans="1:26" ht="15.75" customHeight="1" x14ac:dyDescent="0.2">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spans="1:26" ht="15.75" customHeight="1" x14ac:dyDescent="0.2">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spans="1:26" ht="15.75" customHeight="1" x14ac:dyDescent="0.2">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spans="1:26" ht="15.75" customHeight="1" x14ac:dyDescent="0.2">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spans="1:26" ht="15.75" customHeight="1" x14ac:dyDescent="0.2">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spans="1:26" ht="15.75" customHeight="1" x14ac:dyDescent="0.2">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spans="1:26" ht="15.75" customHeight="1" x14ac:dyDescent="0.2">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spans="1:26" ht="15.75" customHeight="1" x14ac:dyDescent="0.2">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spans="1:26" ht="15.75" customHeight="1" x14ac:dyDescent="0.2">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spans="1:26" ht="15.75" customHeight="1" x14ac:dyDescent="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spans="1:26" ht="15.75" customHeight="1" x14ac:dyDescent="0.2">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spans="1:26" ht="15.75" customHeight="1" x14ac:dyDescent="0.2">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spans="1:26" ht="15.75" customHeight="1" x14ac:dyDescent="0.2">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spans="1:26" ht="15.75" customHeight="1" x14ac:dyDescent="0.2">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spans="1:26" ht="15.75" customHeight="1" x14ac:dyDescent="0.2">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spans="1:26" ht="15.75" customHeight="1" x14ac:dyDescent="0.2">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spans="1:26" ht="15.75" customHeight="1" x14ac:dyDescent="0.2">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spans="1:26" ht="15.75" customHeight="1" x14ac:dyDescent="0.2">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spans="1:26" ht="15.75" customHeight="1" x14ac:dyDescent="0.2">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spans="1:26" ht="15.75" customHeight="1" x14ac:dyDescent="0.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spans="1:26" ht="15.75" customHeight="1" x14ac:dyDescent="0.2">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spans="1:26" ht="15.75" customHeight="1" x14ac:dyDescent="0.2">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spans="1:26" ht="15.75" customHeight="1" x14ac:dyDescent="0.2">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spans="1:26" ht="15.75" customHeight="1" x14ac:dyDescent="0.2">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spans="1:26" ht="15.75" customHeight="1" x14ac:dyDescent="0.2">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spans="1:26" ht="15.75" customHeight="1" x14ac:dyDescent="0.2">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spans="1:26" ht="15.75" customHeight="1" x14ac:dyDescent="0.2">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spans="1:26" ht="15.75" customHeight="1" x14ac:dyDescent="0.2">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spans="1:26" ht="15.75" customHeight="1" x14ac:dyDescent="0.2">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spans="1:26" ht="15.75" customHeight="1" x14ac:dyDescent="0.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spans="1:26" ht="15.75" customHeight="1" x14ac:dyDescent="0.2">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spans="1:26" ht="15.75" customHeight="1" x14ac:dyDescent="0.2">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spans="1:26" ht="15.75" customHeight="1" x14ac:dyDescent="0.2">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spans="1:26" ht="15.75" customHeight="1" x14ac:dyDescent="0.2">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spans="1:26" ht="15.75" customHeight="1" x14ac:dyDescent="0.2">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spans="1:26" ht="15.75" customHeight="1" x14ac:dyDescent="0.2">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spans="1:26" ht="15.75" customHeight="1" x14ac:dyDescent="0.2">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spans="1:26" ht="15.75" customHeight="1" x14ac:dyDescent="0.2">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spans="1:26" ht="15.75" customHeight="1" x14ac:dyDescent="0.2">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spans="1:26" ht="15.75" customHeight="1" x14ac:dyDescent="0.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spans="1:26" ht="15.75" customHeight="1" x14ac:dyDescent="0.2">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spans="1:26" ht="15.75" customHeight="1" x14ac:dyDescent="0.2">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spans="1:26" ht="15.75" customHeight="1" x14ac:dyDescent="0.2">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spans="1:26" ht="15.75" customHeight="1" x14ac:dyDescent="0.2">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spans="1:26" ht="15.75" customHeight="1" x14ac:dyDescent="0.2">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spans="1:26" ht="15.75" customHeight="1" x14ac:dyDescent="0.2">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spans="1:26" ht="15.75" customHeight="1" x14ac:dyDescent="0.2">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spans="1:26" ht="15.75" customHeight="1" x14ac:dyDescent="0.2">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spans="1:26" ht="15.75" customHeight="1" x14ac:dyDescent="0.2">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spans="1:26" ht="15.75" customHeight="1" x14ac:dyDescent="0.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spans="1:26" ht="15.75" customHeight="1" x14ac:dyDescent="0.2">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spans="1:26" ht="15.75" customHeight="1" x14ac:dyDescent="0.2">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spans="1:26" ht="15.75" customHeight="1" x14ac:dyDescent="0.2">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spans="1:26" ht="15.75" customHeight="1" x14ac:dyDescent="0.2">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spans="1:26" ht="15.75" customHeight="1" x14ac:dyDescent="0.2">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spans="1:26" ht="15.75" customHeight="1" x14ac:dyDescent="0.2">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spans="1:26" ht="15.75" customHeight="1" x14ac:dyDescent="0.2">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spans="1:26" ht="15.75" customHeight="1" x14ac:dyDescent="0.2">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spans="1:26" ht="15.75" customHeight="1" x14ac:dyDescent="0.2">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spans="1:26" ht="15.75" customHeight="1" x14ac:dyDescent="0.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spans="1:26" ht="15.75" customHeight="1" x14ac:dyDescent="0.2">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spans="1:26" ht="15.75" customHeight="1" x14ac:dyDescent="0.2">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spans="1:26" ht="15.75" customHeight="1" x14ac:dyDescent="0.2">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spans="1:26" ht="15.75" customHeight="1" x14ac:dyDescent="0.2">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spans="1:26" ht="15.75" customHeight="1" x14ac:dyDescent="0.2">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spans="1:26" ht="15.75" customHeight="1" x14ac:dyDescent="0.2">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spans="1:26" ht="15.75" customHeight="1" x14ac:dyDescent="0.2">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spans="1:26" ht="15.75" customHeight="1" x14ac:dyDescent="0.2">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spans="1:26" ht="15.75" customHeight="1" x14ac:dyDescent="0.2">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spans="1:26" ht="15.75" customHeight="1" x14ac:dyDescent="0.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spans="1:26" ht="15.75" customHeight="1" x14ac:dyDescent="0.2">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spans="1:26" ht="15.75" customHeight="1" x14ac:dyDescent="0.2">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spans="1:26" ht="15.75" customHeight="1" x14ac:dyDescent="0.2">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spans="1:26" ht="15.75" customHeight="1" x14ac:dyDescent="0.2">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spans="1:26" ht="15.75" customHeight="1" x14ac:dyDescent="0.2">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spans="1:26" ht="15.75" customHeight="1" x14ac:dyDescent="0.2">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spans="1:26" ht="15.75" customHeight="1" x14ac:dyDescent="0.2">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spans="1:26" ht="15.75" customHeight="1" x14ac:dyDescent="0.2">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spans="1:26" ht="15.75" customHeight="1" x14ac:dyDescent="0.2">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spans="1:26" ht="15.75" customHeight="1" x14ac:dyDescent="0.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spans="1:26" ht="15.75" customHeight="1" x14ac:dyDescent="0.2">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spans="1:26" ht="15.75" customHeight="1" x14ac:dyDescent="0.2">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spans="1:26" ht="15.75" customHeight="1" x14ac:dyDescent="0.2">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spans="1:26" ht="15.75" customHeight="1" x14ac:dyDescent="0.2">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spans="1:26" ht="15.75" customHeight="1" x14ac:dyDescent="0.2">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spans="1:26" ht="15.75" customHeight="1" x14ac:dyDescent="0.2">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spans="1:26" ht="15.75" customHeight="1" x14ac:dyDescent="0.2">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spans="1:26" ht="15.75" customHeight="1" x14ac:dyDescent="0.2">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spans="1:26" ht="15.75" customHeight="1" x14ac:dyDescent="0.2">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spans="1:26" ht="15.75" customHeight="1" x14ac:dyDescent="0.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spans="1:26" ht="15.75" customHeight="1" x14ac:dyDescent="0.2">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spans="1:26" ht="15.75" customHeight="1" x14ac:dyDescent="0.2">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spans="1:26" ht="15.75" customHeight="1" x14ac:dyDescent="0.2">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spans="1:26" ht="15.75" customHeight="1" x14ac:dyDescent="0.2">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spans="1:26" ht="15.75" customHeight="1" x14ac:dyDescent="0.2">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spans="1:26" ht="15.75" customHeight="1" x14ac:dyDescent="0.2">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spans="1:26" ht="15.75" customHeight="1" x14ac:dyDescent="0.2">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spans="1:26" ht="15.75" customHeight="1" x14ac:dyDescent="0.2">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spans="1:26" ht="15.75" customHeight="1" x14ac:dyDescent="0.2">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spans="1:26" ht="15.75" customHeight="1" x14ac:dyDescent="0.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spans="1:26" ht="15.75" customHeight="1" x14ac:dyDescent="0.2">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spans="1:26" ht="15.75" customHeight="1" x14ac:dyDescent="0.2">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spans="1:26" ht="15.75" customHeight="1" x14ac:dyDescent="0.2">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spans="1:26" ht="15.75" customHeight="1" x14ac:dyDescent="0.2">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spans="1:26" ht="15.75" customHeight="1" x14ac:dyDescent="0.2">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spans="1:26" ht="15.75" customHeight="1" x14ac:dyDescent="0.2">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spans="1:26" ht="15.75" customHeight="1" x14ac:dyDescent="0.2">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spans="1:26" ht="15.75" customHeight="1" x14ac:dyDescent="0.2">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spans="1:26" ht="15.75" customHeight="1" x14ac:dyDescent="0.2">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spans="1:26" ht="15.75" customHeight="1" x14ac:dyDescent="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spans="1:26" ht="15.75" customHeight="1" x14ac:dyDescent="0.2">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spans="1:26" ht="15.75" customHeight="1" x14ac:dyDescent="0.2">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spans="1:26" ht="15.75" customHeight="1" x14ac:dyDescent="0.2">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spans="1:26" ht="15.75" customHeight="1" x14ac:dyDescent="0.2">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spans="1:26" ht="15.75" customHeight="1" x14ac:dyDescent="0.2">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spans="1:26" ht="15.75" customHeight="1" x14ac:dyDescent="0.2">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spans="1:26" ht="15.75" customHeight="1" x14ac:dyDescent="0.2">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spans="1:26" ht="15.75" customHeight="1" x14ac:dyDescent="0.2">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spans="1:26" ht="15.75" customHeight="1" x14ac:dyDescent="0.2">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spans="1:26" ht="15.75" customHeight="1" x14ac:dyDescent="0.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spans="1:26" ht="15.75" customHeight="1" x14ac:dyDescent="0.2">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spans="1:26" ht="15.75" customHeight="1" x14ac:dyDescent="0.2">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spans="1:26" ht="15.75" customHeight="1" x14ac:dyDescent="0.2">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spans="1:26" ht="15.75" customHeight="1" x14ac:dyDescent="0.2">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spans="1:26" ht="15.75" customHeight="1" x14ac:dyDescent="0.2">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spans="1:26" ht="15.75" customHeight="1" x14ac:dyDescent="0.2">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spans="1:26" ht="15.75" customHeight="1" x14ac:dyDescent="0.2">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spans="1:26" ht="15.75" customHeight="1" x14ac:dyDescent="0.2">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spans="1:26" ht="15.75" customHeight="1" x14ac:dyDescent="0.2">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spans="1:26" ht="15.75" customHeight="1" x14ac:dyDescent="0.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spans="1:26" ht="15.75" customHeight="1" x14ac:dyDescent="0.2">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spans="1:26" ht="15.75" customHeight="1" x14ac:dyDescent="0.2">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spans="1:26" ht="15.75" customHeight="1" x14ac:dyDescent="0.2">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spans="1:26" ht="15.75" customHeight="1" x14ac:dyDescent="0.2">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spans="1:26" ht="15.75" customHeight="1" x14ac:dyDescent="0.2">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spans="1:26" ht="15.75" customHeight="1" x14ac:dyDescent="0.2">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spans="1:26" ht="15.75" customHeight="1" x14ac:dyDescent="0.2">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spans="1:26" ht="15.75" customHeight="1" x14ac:dyDescent="0.2">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spans="1:26" ht="15.75" customHeight="1" x14ac:dyDescent="0.2">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spans="1:26" ht="15.75" customHeight="1" x14ac:dyDescent="0.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spans="1:26" ht="15.75" customHeight="1" x14ac:dyDescent="0.2">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spans="1:26" ht="15.75" customHeight="1" x14ac:dyDescent="0.2">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spans="1:26" ht="15.75" customHeight="1" x14ac:dyDescent="0.2">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spans="1:26" ht="15.75" customHeight="1" x14ac:dyDescent="0.2">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spans="1:26" ht="15.75" customHeight="1" x14ac:dyDescent="0.2">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spans="1:26" ht="15.75" customHeight="1" x14ac:dyDescent="0.2">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spans="1:26" ht="15.75" customHeight="1" x14ac:dyDescent="0.2">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spans="1:26" ht="15.75" customHeight="1" x14ac:dyDescent="0.2">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spans="1:26" ht="15.75" customHeight="1" x14ac:dyDescent="0.2">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spans="1:26" ht="15.75" customHeight="1" x14ac:dyDescent="0.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spans="1:26" ht="15.75" customHeight="1" x14ac:dyDescent="0.2">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spans="1:26" ht="15.75" customHeight="1" x14ac:dyDescent="0.2">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spans="1:26" ht="15.75" customHeight="1" x14ac:dyDescent="0.2">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spans="1:26" ht="15.75" customHeight="1" x14ac:dyDescent="0.2">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spans="1:26" ht="15.75" customHeight="1" x14ac:dyDescent="0.2">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spans="1:26" ht="15.75" customHeight="1" x14ac:dyDescent="0.2">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spans="1:26" ht="15.75" customHeight="1" x14ac:dyDescent="0.2">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spans="1:26" ht="15.75" customHeight="1" x14ac:dyDescent="0.2">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spans="1:26" ht="15.75" customHeight="1" x14ac:dyDescent="0.2">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spans="1:26" ht="15.75" customHeight="1" x14ac:dyDescent="0.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spans="1:26" ht="15.75" customHeight="1" x14ac:dyDescent="0.2">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spans="1:26" ht="15.75" customHeight="1" x14ac:dyDescent="0.2">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spans="1:26" ht="15.75" customHeight="1" x14ac:dyDescent="0.2">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spans="1:26" ht="15.75" customHeight="1" x14ac:dyDescent="0.2">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spans="1:26" ht="15.75" customHeight="1" x14ac:dyDescent="0.2">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spans="1:26" ht="15.75" customHeight="1" x14ac:dyDescent="0.2">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spans="1:26" ht="15.75" customHeight="1" x14ac:dyDescent="0.2">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spans="1:26" ht="15.75" customHeight="1" x14ac:dyDescent="0.2">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spans="1:26" ht="15.75" customHeight="1" x14ac:dyDescent="0.2">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spans="1:26" ht="15.75" customHeight="1" x14ac:dyDescent="0.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spans="1:26" ht="15.75" customHeight="1" x14ac:dyDescent="0.2">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spans="1:26" ht="15.75" customHeight="1" x14ac:dyDescent="0.2">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spans="1:26" ht="15.75" customHeight="1" x14ac:dyDescent="0.2">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spans="1:26" ht="15.75" customHeight="1" x14ac:dyDescent="0.2">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spans="1:26" ht="15.75" customHeight="1" x14ac:dyDescent="0.2">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spans="1:26" ht="15.75" customHeight="1" x14ac:dyDescent="0.2">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spans="1:26" ht="15.75" customHeight="1" x14ac:dyDescent="0.2">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spans="1:26" ht="15.75" customHeight="1" x14ac:dyDescent="0.2">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spans="1:26" ht="15.75" customHeight="1" x14ac:dyDescent="0.2">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spans="1:26" ht="15.75" customHeight="1" x14ac:dyDescent="0.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spans="1:26" ht="15.75" customHeight="1" x14ac:dyDescent="0.2">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spans="1:26" ht="15.75" customHeight="1" x14ac:dyDescent="0.2">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spans="1:26" ht="15.75" customHeight="1" x14ac:dyDescent="0.2">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spans="1:26" ht="15.75" customHeight="1" x14ac:dyDescent="0.2">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spans="1:26" ht="15.75" customHeight="1" x14ac:dyDescent="0.2">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spans="1:26" ht="15.75" customHeight="1" x14ac:dyDescent="0.2">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spans="1:26" ht="15.75" customHeight="1" x14ac:dyDescent="0.2">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spans="1:26" ht="15.75" customHeight="1" x14ac:dyDescent="0.2">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spans="1:26" ht="15.75" customHeight="1" x14ac:dyDescent="0.2">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spans="1:26" ht="15.75" customHeight="1" x14ac:dyDescent="0.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spans="1:26" ht="15.75" customHeight="1" x14ac:dyDescent="0.2">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spans="1:26" ht="15.75" customHeight="1" x14ac:dyDescent="0.2">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spans="1:26" ht="15.75" customHeight="1" x14ac:dyDescent="0.2">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spans="1:26" ht="15.75" customHeight="1" x14ac:dyDescent="0.2">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spans="1:26" ht="15.75" customHeight="1" x14ac:dyDescent="0.2">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spans="1:26" ht="15.75" customHeight="1" x14ac:dyDescent="0.2">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spans="1:26" ht="15.75" customHeight="1" x14ac:dyDescent="0.2">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spans="1:26" ht="15.75" customHeight="1" x14ac:dyDescent="0.2">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spans="1:26" ht="15.75" customHeight="1" x14ac:dyDescent="0.2">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spans="1:26" ht="15.75" customHeight="1" x14ac:dyDescent="0.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spans="1:26" ht="15.75" customHeight="1" x14ac:dyDescent="0.2">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spans="1:26" ht="15.75" customHeight="1" x14ac:dyDescent="0.2">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spans="1:26" ht="15.75" customHeight="1" x14ac:dyDescent="0.2">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spans="1:26" ht="15.75" customHeight="1" x14ac:dyDescent="0.2">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spans="1:26" ht="15.75" customHeight="1" x14ac:dyDescent="0.2">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spans="1:26" ht="15.75" customHeight="1" x14ac:dyDescent="0.2">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spans="1:26" ht="15.75" customHeight="1" x14ac:dyDescent="0.2">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spans="1:26" ht="15.75" customHeight="1" x14ac:dyDescent="0.2">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spans="1:26" ht="15.75" customHeight="1" x14ac:dyDescent="0.2">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spans="1:26" ht="15.75" customHeight="1" x14ac:dyDescent="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spans="1:26" ht="15.75" customHeight="1" x14ac:dyDescent="0.2">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spans="1:26" ht="15.75" customHeight="1" x14ac:dyDescent="0.2">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spans="1:26" ht="15.75" customHeight="1" x14ac:dyDescent="0.2">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spans="1:26" ht="15.75" customHeight="1" x14ac:dyDescent="0.2">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spans="1:26" ht="15.75" customHeight="1" x14ac:dyDescent="0.2">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spans="1:26" ht="15.75" customHeight="1" x14ac:dyDescent="0.2">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spans="1:26" ht="15.75" customHeight="1" x14ac:dyDescent="0.2">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spans="1:26" ht="15.75" customHeight="1" x14ac:dyDescent="0.2">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spans="1:26" ht="15.75" customHeight="1" x14ac:dyDescent="0.2">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spans="1:26" ht="15.75" customHeight="1" x14ac:dyDescent="0.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spans="1:26" ht="15.75" customHeight="1" x14ac:dyDescent="0.2">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spans="1:26" ht="15.75" customHeight="1" x14ac:dyDescent="0.2">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spans="1:26" ht="15.75" customHeight="1" x14ac:dyDescent="0.2">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spans="1:26" ht="15.75" customHeight="1" x14ac:dyDescent="0.2">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spans="1:26" ht="15.75" customHeight="1" x14ac:dyDescent="0.2">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spans="1:26" ht="15.75" customHeight="1" x14ac:dyDescent="0.2">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spans="1:26" ht="15.75" customHeight="1" x14ac:dyDescent="0.2">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spans="1:26" ht="15.75" customHeight="1" x14ac:dyDescent="0.2">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spans="1:26" ht="15.75" customHeight="1" x14ac:dyDescent="0.2">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spans="1:26" ht="15.75" customHeight="1" x14ac:dyDescent="0.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spans="1:26" ht="15.75" customHeight="1" x14ac:dyDescent="0.2">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spans="1:26" ht="15.75" customHeight="1" x14ac:dyDescent="0.2">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spans="1:26" ht="15.75" customHeight="1" x14ac:dyDescent="0.2">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spans="1:26" ht="15.75" customHeight="1" x14ac:dyDescent="0.2">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spans="1:26" ht="15.75" customHeight="1" x14ac:dyDescent="0.2">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spans="1:26" ht="15.75" customHeight="1" x14ac:dyDescent="0.2">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spans="1:26" ht="15.75" customHeight="1" x14ac:dyDescent="0.2">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spans="1:26" ht="15.75" customHeight="1" x14ac:dyDescent="0.2">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spans="1:26" ht="15.75" customHeight="1" x14ac:dyDescent="0.2">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spans="1:26" ht="15.75" customHeight="1" x14ac:dyDescent="0.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spans="1:26" ht="15.75" customHeight="1" x14ac:dyDescent="0.2">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spans="1:26" ht="15.75" customHeight="1" x14ac:dyDescent="0.2">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spans="1:26" ht="15.75" customHeight="1" x14ac:dyDescent="0.2">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spans="1:26" ht="15.75" customHeight="1" x14ac:dyDescent="0.2">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spans="1:26" ht="15.75" customHeight="1" x14ac:dyDescent="0.2">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spans="1:26" ht="15.75" customHeight="1" x14ac:dyDescent="0.2">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spans="1:26" ht="15.75" customHeight="1" x14ac:dyDescent="0.2">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spans="1:26" ht="15.75" customHeight="1" x14ac:dyDescent="0.2">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spans="1:26" ht="15.75" customHeight="1" x14ac:dyDescent="0.2">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spans="1:26" ht="15.75" customHeight="1" x14ac:dyDescent="0.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spans="1:26" ht="15.75" customHeight="1" x14ac:dyDescent="0.2">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spans="1:26" ht="15.75" customHeight="1" x14ac:dyDescent="0.2">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spans="1:26" ht="15.75" customHeight="1" x14ac:dyDescent="0.2">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spans="1:26" ht="15.75" customHeight="1" x14ac:dyDescent="0.2">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spans="1:26" ht="15.75" customHeight="1" x14ac:dyDescent="0.2">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spans="1:26" ht="15.75" customHeight="1" x14ac:dyDescent="0.2">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spans="1:26" ht="15.75" customHeight="1" x14ac:dyDescent="0.2">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spans="1:26" ht="15.75" customHeight="1" x14ac:dyDescent="0.2">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spans="1:26" ht="15.75" customHeight="1" x14ac:dyDescent="0.2">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spans="1:26" ht="15.75" customHeight="1" x14ac:dyDescent="0.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spans="1:26" ht="15.75" customHeight="1" x14ac:dyDescent="0.2">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spans="1:26" ht="15.75" customHeight="1" x14ac:dyDescent="0.2">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spans="1:26" ht="15.75" customHeight="1" x14ac:dyDescent="0.2">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spans="1:26" ht="15.75" customHeight="1" x14ac:dyDescent="0.2">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spans="1:26" ht="15.75" customHeight="1" x14ac:dyDescent="0.2">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spans="1:26" ht="15.75" customHeight="1" x14ac:dyDescent="0.2">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spans="1:26" ht="15.75" customHeight="1" x14ac:dyDescent="0.2">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spans="1:26" ht="15.75" customHeight="1" x14ac:dyDescent="0.2">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spans="1:26" ht="15.75" customHeight="1" x14ac:dyDescent="0.2">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spans="1:26" ht="15.75" customHeight="1" x14ac:dyDescent="0.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spans="1:26" ht="15.75" customHeight="1" x14ac:dyDescent="0.2">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spans="1:26" ht="15.75" customHeight="1" x14ac:dyDescent="0.2">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spans="1:26" ht="15.75" customHeight="1" x14ac:dyDescent="0.2">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spans="1:26" ht="15.75" customHeight="1" x14ac:dyDescent="0.2">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spans="1:26" ht="15.75" customHeight="1" x14ac:dyDescent="0.2">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spans="1:26" ht="15.75" customHeight="1" x14ac:dyDescent="0.2">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spans="1:26" ht="15.75" customHeight="1" x14ac:dyDescent="0.2">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spans="1:26" ht="15.75" customHeight="1" x14ac:dyDescent="0.2">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spans="1:26" ht="15.75" customHeight="1" x14ac:dyDescent="0.2">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spans="1:26" ht="15.75" customHeight="1" x14ac:dyDescent="0.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spans="1:26" ht="15.75" customHeight="1" x14ac:dyDescent="0.2">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spans="1:26" ht="15.75" customHeight="1" x14ac:dyDescent="0.2">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spans="1:26" ht="15.75" customHeight="1" x14ac:dyDescent="0.2">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spans="1:26" ht="15.75" customHeight="1" x14ac:dyDescent="0.2">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spans="1:26" ht="15.75" customHeight="1" x14ac:dyDescent="0.2">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spans="1:26" ht="15.75" customHeight="1" x14ac:dyDescent="0.2">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spans="1:26" ht="15.75" customHeight="1" x14ac:dyDescent="0.2">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spans="1:26" ht="15.75" customHeight="1" x14ac:dyDescent="0.2">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spans="1:26" ht="15.75" customHeight="1" x14ac:dyDescent="0.2">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spans="1:26" ht="15.75" customHeight="1" x14ac:dyDescent="0.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spans="1:26" ht="15.75" customHeight="1" x14ac:dyDescent="0.2">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spans="1:26" ht="15.75" customHeight="1" x14ac:dyDescent="0.2">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spans="1:26" ht="15.75" customHeight="1" x14ac:dyDescent="0.2">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spans="1:26" ht="15.75" customHeight="1" x14ac:dyDescent="0.2">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spans="1:26" ht="15.75" customHeight="1" x14ac:dyDescent="0.2">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spans="1:26" ht="15.75" customHeight="1" x14ac:dyDescent="0.2">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spans="1:26" ht="15.75" customHeight="1" x14ac:dyDescent="0.2">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spans="1:26" ht="15.75" customHeight="1" x14ac:dyDescent="0.2">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spans="1:26" ht="15.75" customHeight="1" x14ac:dyDescent="0.2">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spans="1:26" ht="15.75" customHeight="1" x14ac:dyDescent="0.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spans="1:26" ht="15.75" customHeight="1" x14ac:dyDescent="0.2">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spans="1:26" ht="15.75" customHeight="1" x14ac:dyDescent="0.2">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spans="1:26" ht="15.75" customHeight="1" x14ac:dyDescent="0.2">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spans="1:26" ht="15.75" customHeight="1" x14ac:dyDescent="0.2">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spans="1:26" ht="15.75" customHeight="1" x14ac:dyDescent="0.2">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spans="1:26" ht="15.75" customHeight="1" x14ac:dyDescent="0.2">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spans="1:26" ht="15.75" customHeight="1" x14ac:dyDescent="0.2">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spans="1:26" ht="15.75" customHeight="1" x14ac:dyDescent="0.2">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20">
    <mergeCell ref="V1:V2"/>
    <mergeCell ref="W1:W2"/>
    <mergeCell ref="X1:Y1"/>
    <mergeCell ref="H1:H2"/>
    <mergeCell ref="I1:I2"/>
    <mergeCell ref="J1:J2"/>
    <mergeCell ref="K1:K2"/>
    <mergeCell ref="L1:L2"/>
    <mergeCell ref="N1:N2"/>
    <mergeCell ref="Q1:Q2"/>
    <mergeCell ref="F1:F2"/>
    <mergeCell ref="G1:G2"/>
    <mergeCell ref="O1:P1"/>
    <mergeCell ref="R1:T1"/>
    <mergeCell ref="U1:U2"/>
    <mergeCell ref="A1:A2"/>
    <mergeCell ref="B1:B2"/>
    <mergeCell ref="C1:C2"/>
    <mergeCell ref="D1:D2"/>
    <mergeCell ref="E1:E2"/>
  </mergeCells>
  <pageMargins left="0.7" right="0.7" top="0.75" bottom="0.75" header="0.3" footer="0.3"/>
  <pageSetup orientation="portrait"/>
  <headerFooter>
    <oddHeader>&amp;L&amp;C&amp;R</oddHeader>
    <oddFooter>&amp;L&amp;C&amp;R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3D118-ED08-344D-6558-C503D635AEB8}">
  <sheetPr>
    <outlinePr summaryBelow="0" summaryRight="0"/>
  </sheetPr>
  <dimension ref="A1:Z1005"/>
  <sheetViews>
    <sheetView showGridLines="0" workbookViewId="0">
      <pane xSplit="1" ySplit="2" topLeftCell="B3" activePane="bottomRight" state="frozen"/>
      <selection pane="topRight" activeCell="B1" sqref="B1"/>
      <selection pane="bottomLeft" activeCell="A3" sqref="A3"/>
      <selection pane="bottomRight" activeCell="B3" sqref="B3"/>
    </sheetView>
  </sheetViews>
  <sheetFormatPr defaultColWidth="12.5703125" defaultRowHeight="15.75" customHeight="1" x14ac:dyDescent="0.2"/>
  <cols>
    <col min="1" max="1" width="11.140625" customWidth="1"/>
    <col min="2" max="2" width="8" customWidth="1"/>
    <col min="3" max="3" width="45.85546875" customWidth="1"/>
    <col min="4" max="4" width="47.7109375" customWidth="1"/>
    <col min="5" max="5" width="45.7109375" customWidth="1"/>
    <col min="6" max="7" width="99.5703125" customWidth="1"/>
    <col min="8" max="8" width="61" customWidth="1"/>
    <col min="9" max="9" width="34.7109375" customWidth="1"/>
    <col min="10" max="10" width="58.42578125" customWidth="1"/>
    <col min="11" max="11" width="59" customWidth="1"/>
    <col min="12" max="12" width="50.7109375" customWidth="1"/>
    <col min="14" max="14" width="14.140625" customWidth="1"/>
    <col min="15" max="15" width="16.28515625" customWidth="1"/>
    <col min="16" max="16" width="12" customWidth="1"/>
    <col min="17" max="17" width="71.28515625" customWidth="1"/>
    <col min="18" max="18" width="48.7109375" customWidth="1"/>
    <col min="19" max="19" width="12" customWidth="1"/>
    <col min="20" max="20" width="14.42578125" customWidth="1"/>
    <col min="21" max="21" width="54.28515625" customWidth="1"/>
    <col min="22" max="22" width="41.28515625" customWidth="1"/>
    <col min="23" max="23" width="22.42578125" customWidth="1"/>
    <col min="24" max="24" width="37.85546875" customWidth="1"/>
    <col min="25" max="25" width="11.140625" customWidth="1"/>
    <col min="26" max="26" width="458.140625" customWidth="1"/>
  </cols>
  <sheetData>
    <row r="1" spans="1:26" ht="15.75" customHeight="1" x14ac:dyDescent="0.2">
      <c r="A1" s="84" t="s">
        <v>83</v>
      </c>
      <c r="B1" s="84" t="s">
        <v>18</v>
      </c>
      <c r="C1" s="84" t="s">
        <v>84</v>
      </c>
      <c r="D1" s="84" t="s">
        <v>85</v>
      </c>
      <c r="E1" s="84" t="s">
        <v>86</v>
      </c>
      <c r="F1" s="84" t="s">
        <v>87</v>
      </c>
      <c r="G1" s="84" t="s">
        <v>33</v>
      </c>
      <c r="H1" s="84" t="s">
        <v>36</v>
      </c>
      <c r="I1" s="84" t="s">
        <v>88</v>
      </c>
      <c r="J1" s="84" t="s">
        <v>89</v>
      </c>
      <c r="K1" s="84" t="s">
        <v>90</v>
      </c>
      <c r="L1" s="84" t="s">
        <v>91</v>
      </c>
      <c r="M1" s="20" t="s">
        <v>47</v>
      </c>
      <c r="N1" s="84" t="s">
        <v>92</v>
      </c>
      <c r="O1" s="90" t="s">
        <v>50</v>
      </c>
      <c r="P1" s="88"/>
      <c r="Q1" s="84" t="s">
        <v>93</v>
      </c>
      <c r="R1" s="90" t="s">
        <v>94</v>
      </c>
      <c r="S1" s="89"/>
      <c r="T1" s="88"/>
      <c r="U1" s="84" t="s">
        <v>95</v>
      </c>
      <c r="V1" s="84" t="s">
        <v>96</v>
      </c>
      <c r="W1" s="84" t="s">
        <v>53</v>
      </c>
      <c r="X1" s="90" t="s">
        <v>97</v>
      </c>
      <c r="Y1" s="88"/>
      <c r="Z1" s="20" t="s">
        <v>98</v>
      </c>
    </row>
    <row r="2" spans="1:26" ht="15.75" customHeight="1" x14ac:dyDescent="0.2">
      <c r="A2" s="85"/>
      <c r="B2" s="85"/>
      <c r="C2" s="85"/>
      <c r="D2" s="85"/>
      <c r="E2" s="85"/>
      <c r="F2" s="85"/>
      <c r="G2" s="85"/>
      <c r="H2" s="85"/>
      <c r="I2" s="85"/>
      <c r="J2" s="85"/>
      <c r="K2" s="85"/>
      <c r="L2" s="85"/>
      <c r="M2" s="20" t="s">
        <v>99</v>
      </c>
      <c r="N2" s="85"/>
      <c r="O2" s="20" t="s">
        <v>100</v>
      </c>
      <c r="P2" s="20" t="s">
        <v>18</v>
      </c>
      <c r="Q2" s="85"/>
      <c r="R2" s="20" t="s">
        <v>101</v>
      </c>
      <c r="S2" s="20" t="s">
        <v>83</v>
      </c>
      <c r="T2" s="20" t="s">
        <v>102</v>
      </c>
      <c r="U2" s="85"/>
      <c r="V2" s="85"/>
      <c r="W2" s="85"/>
      <c r="X2" s="20" t="s">
        <v>101</v>
      </c>
      <c r="Y2" s="20" t="s">
        <v>83</v>
      </c>
      <c r="Z2" s="20"/>
    </row>
    <row r="3" spans="1:26" ht="110.25" customHeight="1" x14ac:dyDescent="0.2">
      <c r="A3" s="13" t="s">
        <v>619</v>
      </c>
      <c r="B3" s="49" t="s">
        <v>19</v>
      </c>
      <c r="C3" s="49" t="s">
        <v>569</v>
      </c>
      <c r="D3" s="49" t="s">
        <v>620</v>
      </c>
      <c r="E3" s="49" t="s">
        <v>571</v>
      </c>
      <c r="F3" s="49" t="s">
        <v>621</v>
      </c>
      <c r="G3" s="49" t="s">
        <v>621</v>
      </c>
      <c r="H3" s="49" t="s">
        <v>622</v>
      </c>
      <c r="I3" s="49" t="s">
        <v>623</v>
      </c>
      <c r="J3" s="49" t="s">
        <v>576</v>
      </c>
      <c r="K3" s="55" t="s">
        <v>624</v>
      </c>
      <c r="L3" s="55" t="s">
        <v>625</v>
      </c>
      <c r="M3" s="49" t="s">
        <v>576</v>
      </c>
      <c r="N3" s="49" t="s">
        <v>576</v>
      </c>
      <c r="O3" s="49" t="s">
        <v>576</v>
      </c>
      <c r="P3" s="49" t="s">
        <v>576</v>
      </c>
      <c r="Q3" s="49" t="s">
        <v>576</v>
      </c>
      <c r="R3" s="49" t="s">
        <v>576</v>
      </c>
      <c r="S3" s="49" t="s">
        <v>576</v>
      </c>
      <c r="T3" s="49" t="s">
        <v>576</v>
      </c>
      <c r="U3" s="49" t="s">
        <v>19</v>
      </c>
      <c r="V3" s="49" t="s">
        <v>106</v>
      </c>
      <c r="W3" s="49" t="s">
        <v>106</v>
      </c>
      <c r="X3" s="49" t="s">
        <v>626</v>
      </c>
      <c r="Y3" s="49" t="s">
        <v>19</v>
      </c>
      <c r="Z3" s="49" t="s">
        <v>627</v>
      </c>
    </row>
    <row r="4" spans="1:26" ht="127.5" customHeight="1" x14ac:dyDescent="0.2">
      <c r="A4" s="13" t="s">
        <v>628</v>
      </c>
      <c r="B4" s="49" t="s">
        <v>19</v>
      </c>
      <c r="C4" s="49" t="s">
        <v>569</v>
      </c>
      <c r="D4" s="49" t="s">
        <v>629</v>
      </c>
      <c r="E4" s="49" t="s">
        <v>571</v>
      </c>
      <c r="F4" s="49" t="s">
        <v>621</v>
      </c>
      <c r="G4" s="49" t="s">
        <v>621</v>
      </c>
      <c r="H4" s="49" t="s">
        <v>622</v>
      </c>
      <c r="I4" s="49" t="s">
        <v>630</v>
      </c>
      <c r="J4" s="49" t="s">
        <v>576</v>
      </c>
      <c r="K4" s="55" t="s">
        <v>624</v>
      </c>
      <c r="L4" s="55" t="s">
        <v>631</v>
      </c>
      <c r="M4" s="49" t="s">
        <v>576</v>
      </c>
      <c r="N4" s="49" t="s">
        <v>576</v>
      </c>
      <c r="O4" s="49" t="s">
        <v>576</v>
      </c>
      <c r="P4" s="49" t="s">
        <v>576</v>
      </c>
      <c r="Q4" s="49" t="s">
        <v>576</v>
      </c>
      <c r="R4" s="49" t="s">
        <v>576</v>
      </c>
      <c r="S4" s="49" t="s">
        <v>576</v>
      </c>
      <c r="T4" s="49" t="s">
        <v>576</v>
      </c>
      <c r="U4" s="49" t="s">
        <v>19</v>
      </c>
      <c r="V4" s="49" t="s">
        <v>106</v>
      </c>
      <c r="W4" s="49" t="s">
        <v>106</v>
      </c>
      <c r="X4" s="49" t="s">
        <v>632</v>
      </c>
      <c r="Y4" s="49" t="s">
        <v>19</v>
      </c>
      <c r="Z4" s="55" t="s">
        <v>633</v>
      </c>
    </row>
    <row r="5" spans="1:26" ht="15.75" customHeight="1" x14ac:dyDescent="0.2">
      <c r="A5" s="13" t="s">
        <v>634</v>
      </c>
      <c r="B5" s="49" t="s">
        <v>635</v>
      </c>
      <c r="C5" s="49" t="s">
        <v>569</v>
      </c>
      <c r="D5" s="49" t="s">
        <v>636</v>
      </c>
      <c r="E5" s="49" t="s">
        <v>571</v>
      </c>
      <c r="F5" s="49" t="s">
        <v>621</v>
      </c>
      <c r="G5" s="49" t="s">
        <v>621</v>
      </c>
      <c r="H5" s="49" t="s">
        <v>622</v>
      </c>
      <c r="I5" s="49" t="s">
        <v>637</v>
      </c>
      <c r="J5" s="49" t="s">
        <v>576</v>
      </c>
      <c r="K5" s="55" t="s">
        <v>624</v>
      </c>
      <c r="L5" s="55" t="s">
        <v>625</v>
      </c>
      <c r="M5" s="49" t="s">
        <v>576</v>
      </c>
      <c r="N5" s="49" t="s">
        <v>576</v>
      </c>
      <c r="O5" s="49" t="s">
        <v>576</v>
      </c>
      <c r="P5" s="49" t="s">
        <v>576</v>
      </c>
      <c r="Q5" s="49" t="s">
        <v>576</v>
      </c>
      <c r="R5" s="49" t="s">
        <v>576</v>
      </c>
      <c r="S5" s="49" t="s">
        <v>576</v>
      </c>
      <c r="T5" s="49" t="s">
        <v>576</v>
      </c>
      <c r="U5" s="49" t="s">
        <v>19</v>
      </c>
      <c r="V5" s="49" t="s">
        <v>106</v>
      </c>
      <c r="W5" s="49" t="s">
        <v>106</v>
      </c>
      <c r="X5" s="49" t="s">
        <v>638</v>
      </c>
      <c r="Y5" s="49" t="s">
        <v>19</v>
      </c>
      <c r="Z5" s="49" t="s">
        <v>639</v>
      </c>
    </row>
    <row r="6" spans="1:26" ht="15.75" customHeight="1" x14ac:dyDescent="0.2">
      <c r="A6" s="13" t="s">
        <v>640</v>
      </c>
      <c r="B6" s="49" t="s">
        <v>641</v>
      </c>
      <c r="C6" s="49" t="s">
        <v>569</v>
      </c>
      <c r="D6" s="49" t="s">
        <v>620</v>
      </c>
      <c r="E6" s="49" t="s">
        <v>571</v>
      </c>
      <c r="F6" s="49" t="s">
        <v>642</v>
      </c>
      <c r="G6" s="49" t="s">
        <v>642</v>
      </c>
      <c r="H6" s="49" t="s">
        <v>643</v>
      </c>
      <c r="I6" s="49" t="s">
        <v>644</v>
      </c>
      <c r="J6" s="49" t="s">
        <v>576</v>
      </c>
      <c r="K6" s="55" t="s">
        <v>645</v>
      </c>
      <c r="L6" s="55" t="s">
        <v>646</v>
      </c>
      <c r="M6" s="49" t="s">
        <v>576</v>
      </c>
      <c r="N6" s="49" t="s">
        <v>576</v>
      </c>
      <c r="O6" s="49" t="s">
        <v>576</v>
      </c>
      <c r="P6" s="49" t="s">
        <v>576</v>
      </c>
      <c r="Q6" s="49" t="s">
        <v>576</v>
      </c>
      <c r="R6" s="49" t="s">
        <v>576</v>
      </c>
      <c r="S6" s="49" t="s">
        <v>576</v>
      </c>
      <c r="T6" s="49" t="s">
        <v>576</v>
      </c>
      <c r="U6" s="49" t="s">
        <v>19</v>
      </c>
      <c r="V6" s="49" t="s">
        <v>106</v>
      </c>
      <c r="W6" s="49" t="s">
        <v>106</v>
      </c>
      <c r="X6" s="49" t="s">
        <v>647</v>
      </c>
      <c r="Y6" s="49" t="s">
        <v>19</v>
      </c>
      <c r="Z6" s="49" t="s">
        <v>648</v>
      </c>
    </row>
    <row r="7" spans="1:26" ht="15.75" customHeight="1" x14ac:dyDescent="0.2">
      <c r="A7" s="13" t="s">
        <v>581</v>
      </c>
      <c r="B7" s="49" t="s">
        <v>649</v>
      </c>
      <c r="C7" s="49" t="s">
        <v>569</v>
      </c>
      <c r="D7" s="49" t="s">
        <v>620</v>
      </c>
      <c r="E7" s="49" t="s">
        <v>571</v>
      </c>
      <c r="F7" s="49" t="s">
        <v>621</v>
      </c>
      <c r="G7" s="49" t="s">
        <v>621</v>
      </c>
      <c r="H7" s="49" t="s">
        <v>622</v>
      </c>
      <c r="I7" s="49" t="s">
        <v>650</v>
      </c>
      <c r="J7" s="49" t="s">
        <v>576</v>
      </c>
      <c r="K7" s="55" t="s">
        <v>624</v>
      </c>
      <c r="L7" s="55" t="s">
        <v>625</v>
      </c>
      <c r="M7" s="49" t="s">
        <v>576</v>
      </c>
      <c r="N7" s="49" t="s">
        <v>576</v>
      </c>
      <c r="O7" s="49" t="s">
        <v>576</v>
      </c>
      <c r="P7" s="49" t="s">
        <v>576</v>
      </c>
      <c r="Q7" s="49" t="s">
        <v>576</v>
      </c>
      <c r="R7" s="49" t="s">
        <v>576</v>
      </c>
      <c r="S7" s="49" t="s">
        <v>576</v>
      </c>
      <c r="T7" s="49" t="s">
        <v>576</v>
      </c>
      <c r="U7" s="49" t="s">
        <v>19</v>
      </c>
      <c r="V7" s="49" t="s">
        <v>106</v>
      </c>
      <c r="W7" s="49" t="s">
        <v>106</v>
      </c>
      <c r="X7" s="49" t="s">
        <v>651</v>
      </c>
      <c r="Y7" s="49" t="s">
        <v>19</v>
      </c>
      <c r="Z7" s="49" t="s">
        <v>652</v>
      </c>
    </row>
    <row r="8" spans="1:26" ht="15.75" customHeight="1" x14ac:dyDescent="0.2">
      <c r="A8" s="13" t="s">
        <v>586</v>
      </c>
      <c r="B8" s="49" t="s">
        <v>653</v>
      </c>
      <c r="C8" s="49" t="s">
        <v>654</v>
      </c>
      <c r="D8" s="49" t="s">
        <v>620</v>
      </c>
      <c r="E8" s="49" t="s">
        <v>571</v>
      </c>
      <c r="F8" s="49" t="s">
        <v>621</v>
      </c>
      <c r="G8" s="49" t="s">
        <v>621</v>
      </c>
      <c r="H8" s="49" t="s">
        <v>622</v>
      </c>
      <c r="I8" s="49" t="s">
        <v>655</v>
      </c>
      <c r="J8" s="49" t="s">
        <v>576</v>
      </c>
      <c r="K8" s="55" t="s">
        <v>624</v>
      </c>
      <c r="L8" s="55" t="s">
        <v>625</v>
      </c>
      <c r="M8" s="49" t="s">
        <v>576</v>
      </c>
      <c r="N8" s="49" t="s">
        <v>576</v>
      </c>
      <c r="O8" s="49" t="s">
        <v>576</v>
      </c>
      <c r="P8" s="49" t="s">
        <v>576</v>
      </c>
      <c r="Q8" s="49" t="s">
        <v>576</v>
      </c>
      <c r="R8" s="49" t="s">
        <v>576</v>
      </c>
      <c r="S8" s="49" t="s">
        <v>576</v>
      </c>
      <c r="T8" s="49" t="s">
        <v>576</v>
      </c>
      <c r="U8" s="49" t="s">
        <v>19</v>
      </c>
      <c r="V8" s="49" t="s">
        <v>106</v>
      </c>
      <c r="W8" s="49" t="s">
        <v>106</v>
      </c>
      <c r="X8" s="49" t="s">
        <v>656</v>
      </c>
      <c r="Y8" s="49" t="s">
        <v>19</v>
      </c>
      <c r="Z8" s="49" t="s">
        <v>657</v>
      </c>
    </row>
    <row r="9" spans="1:26" ht="75.75" customHeight="1" x14ac:dyDescent="0.2">
      <c r="A9" s="13" t="s">
        <v>658</v>
      </c>
      <c r="B9" s="49" t="s">
        <v>19</v>
      </c>
      <c r="C9" s="49" t="s">
        <v>569</v>
      </c>
      <c r="D9" s="49" t="s">
        <v>659</v>
      </c>
      <c r="E9" s="49" t="s">
        <v>571</v>
      </c>
      <c r="F9" s="49" t="s">
        <v>621</v>
      </c>
      <c r="G9" s="49" t="s">
        <v>621</v>
      </c>
      <c r="H9" s="49" t="s">
        <v>622</v>
      </c>
      <c r="I9" s="49" t="s">
        <v>660</v>
      </c>
      <c r="J9" s="49" t="s">
        <v>576</v>
      </c>
      <c r="K9" s="55" t="s">
        <v>624</v>
      </c>
      <c r="L9" s="49" t="s">
        <v>661</v>
      </c>
      <c r="M9" s="49" t="s">
        <v>576</v>
      </c>
      <c r="N9" s="49" t="s">
        <v>576</v>
      </c>
      <c r="O9" s="49" t="s">
        <v>576</v>
      </c>
      <c r="P9" s="49" t="s">
        <v>576</v>
      </c>
      <c r="Q9" s="49" t="s">
        <v>576</v>
      </c>
      <c r="R9" s="49" t="s">
        <v>576</v>
      </c>
      <c r="S9" s="49" t="s">
        <v>576</v>
      </c>
      <c r="T9" s="49" t="s">
        <v>576</v>
      </c>
      <c r="U9" s="49" t="s">
        <v>19</v>
      </c>
      <c r="V9" s="49" t="s">
        <v>106</v>
      </c>
      <c r="W9" s="49" t="s">
        <v>106</v>
      </c>
      <c r="X9" s="49" t="s">
        <v>662</v>
      </c>
      <c r="Y9" s="49" t="s">
        <v>19</v>
      </c>
      <c r="Z9" s="49" t="s">
        <v>663</v>
      </c>
    </row>
    <row r="10" spans="1:26" ht="112.5" customHeight="1" x14ac:dyDescent="0.2">
      <c r="A10" s="13" t="s">
        <v>664</v>
      </c>
      <c r="B10" s="49" t="s">
        <v>19</v>
      </c>
      <c r="C10" s="49" t="s">
        <v>569</v>
      </c>
      <c r="D10" s="49" t="s">
        <v>665</v>
      </c>
      <c r="E10" s="49" t="s">
        <v>571</v>
      </c>
      <c r="F10" s="49" t="s">
        <v>621</v>
      </c>
      <c r="G10" s="49" t="s">
        <v>621</v>
      </c>
      <c r="H10" s="49" t="s">
        <v>622</v>
      </c>
      <c r="I10" s="49" t="s">
        <v>666</v>
      </c>
      <c r="J10" s="49" t="s">
        <v>576</v>
      </c>
      <c r="K10" s="55" t="s">
        <v>667</v>
      </c>
      <c r="L10" s="55" t="s">
        <v>631</v>
      </c>
      <c r="M10" s="49" t="s">
        <v>576</v>
      </c>
      <c r="N10" s="49" t="s">
        <v>576</v>
      </c>
      <c r="O10" s="49" t="s">
        <v>576</v>
      </c>
      <c r="P10" s="49" t="s">
        <v>576</v>
      </c>
      <c r="Q10" s="49" t="s">
        <v>576</v>
      </c>
      <c r="R10" s="49" t="s">
        <v>576</v>
      </c>
      <c r="S10" s="49" t="s">
        <v>576</v>
      </c>
      <c r="T10" s="49" t="s">
        <v>576</v>
      </c>
      <c r="U10" s="49" t="s">
        <v>19</v>
      </c>
      <c r="V10" s="49" t="s">
        <v>106</v>
      </c>
      <c r="W10" s="49" t="s">
        <v>106</v>
      </c>
      <c r="X10" s="49" t="s">
        <v>668</v>
      </c>
      <c r="Y10" s="49" t="s">
        <v>19</v>
      </c>
      <c r="Z10" s="49" t="s">
        <v>669</v>
      </c>
    </row>
    <row r="11" spans="1:26" ht="15.75" customHeight="1" x14ac:dyDescent="0.2">
      <c r="A11" s="13" t="s">
        <v>592</v>
      </c>
      <c r="B11" s="49" t="s">
        <v>670</v>
      </c>
      <c r="C11" s="49" t="s">
        <v>671</v>
      </c>
      <c r="D11" s="49" t="s">
        <v>620</v>
      </c>
      <c r="E11" s="49" t="s">
        <v>571</v>
      </c>
      <c r="F11" s="49" t="s">
        <v>621</v>
      </c>
      <c r="G11" s="49" t="s">
        <v>621</v>
      </c>
      <c r="H11" s="49" t="s">
        <v>622</v>
      </c>
      <c r="I11" s="49" t="s">
        <v>672</v>
      </c>
      <c r="J11" s="49" t="s">
        <v>576</v>
      </c>
      <c r="K11" s="55" t="s">
        <v>624</v>
      </c>
      <c r="L11" s="55" t="s">
        <v>625</v>
      </c>
      <c r="M11" s="49" t="s">
        <v>576</v>
      </c>
      <c r="N11" s="49" t="s">
        <v>576</v>
      </c>
      <c r="O11" s="49" t="s">
        <v>576</v>
      </c>
      <c r="P11" s="49" t="s">
        <v>576</v>
      </c>
      <c r="Q11" s="49" t="s">
        <v>576</v>
      </c>
      <c r="R11" s="49" t="s">
        <v>576</v>
      </c>
      <c r="S11" s="49" t="s">
        <v>576</v>
      </c>
      <c r="T11" s="49" t="s">
        <v>576</v>
      </c>
      <c r="U11" s="49" t="s">
        <v>19</v>
      </c>
      <c r="V11" s="49" t="s">
        <v>106</v>
      </c>
      <c r="W11" s="49" t="s">
        <v>106</v>
      </c>
      <c r="X11" s="49" t="s">
        <v>673</v>
      </c>
      <c r="Y11" s="49" t="s">
        <v>19</v>
      </c>
      <c r="Z11" s="49" t="s">
        <v>674</v>
      </c>
    </row>
    <row r="12" spans="1:26" ht="15.75" customHeight="1" x14ac:dyDescent="0.2">
      <c r="A12" s="13" t="s">
        <v>598</v>
      </c>
      <c r="B12" s="49" t="s">
        <v>19</v>
      </c>
      <c r="C12" s="49" t="s">
        <v>569</v>
      </c>
      <c r="D12" s="49" t="s">
        <v>675</v>
      </c>
      <c r="E12" s="49" t="s">
        <v>571</v>
      </c>
      <c r="F12" s="49" t="s">
        <v>621</v>
      </c>
      <c r="G12" s="49" t="s">
        <v>621</v>
      </c>
      <c r="H12" s="49" t="s">
        <v>622</v>
      </c>
      <c r="I12" s="49" t="s">
        <v>676</v>
      </c>
      <c r="J12" s="49" t="s">
        <v>576</v>
      </c>
      <c r="K12" s="55" t="s">
        <v>624</v>
      </c>
      <c r="L12" s="55" t="s">
        <v>625</v>
      </c>
      <c r="M12" s="49" t="s">
        <v>576</v>
      </c>
      <c r="N12" s="49" t="s">
        <v>576</v>
      </c>
      <c r="O12" s="49" t="s">
        <v>576</v>
      </c>
      <c r="P12" s="49" t="s">
        <v>576</v>
      </c>
      <c r="Q12" s="49" t="s">
        <v>576</v>
      </c>
      <c r="R12" s="49" t="s">
        <v>576</v>
      </c>
      <c r="S12" s="49" t="s">
        <v>576</v>
      </c>
      <c r="T12" s="49" t="s">
        <v>576</v>
      </c>
      <c r="U12" s="49" t="s">
        <v>19</v>
      </c>
      <c r="V12" s="49" t="s">
        <v>106</v>
      </c>
      <c r="W12" s="49" t="s">
        <v>106</v>
      </c>
      <c r="X12" s="49" t="s">
        <v>677</v>
      </c>
      <c r="Y12" s="49" t="s">
        <v>19</v>
      </c>
      <c r="Z12" s="49" t="s">
        <v>678</v>
      </c>
    </row>
    <row r="13" spans="1:26" ht="15.75" customHeight="1" x14ac:dyDescent="0.2">
      <c r="A13" s="56"/>
      <c r="B13" s="56"/>
      <c r="C13" s="56"/>
      <c r="D13" s="56"/>
      <c r="E13" s="56"/>
      <c r="F13" s="56"/>
      <c r="G13" s="56"/>
      <c r="H13" s="56"/>
      <c r="I13" s="56"/>
      <c r="J13" s="56"/>
      <c r="K13" s="56"/>
      <c r="L13" s="56"/>
      <c r="M13" s="56"/>
      <c r="N13" s="56"/>
      <c r="O13" s="56"/>
      <c r="P13" s="56"/>
      <c r="Q13" s="56"/>
      <c r="R13" s="56"/>
      <c r="S13" s="56"/>
      <c r="T13" s="56"/>
      <c r="U13" s="56"/>
      <c r="V13" s="56"/>
      <c r="W13" s="56"/>
      <c r="X13" s="56"/>
      <c r="Y13" s="56"/>
      <c r="Z13" s="56"/>
    </row>
    <row r="14" spans="1:26" ht="15.75" customHeight="1" x14ac:dyDescent="0.2">
      <c r="A14" s="56"/>
      <c r="B14" s="56"/>
      <c r="C14" s="56"/>
      <c r="D14" s="56"/>
      <c r="E14" s="56"/>
      <c r="F14" s="56"/>
      <c r="G14" s="56"/>
      <c r="H14" s="56"/>
      <c r="I14" s="56"/>
      <c r="J14" s="56"/>
      <c r="K14" s="56"/>
      <c r="L14" s="56"/>
      <c r="M14" s="56"/>
      <c r="N14" s="56"/>
      <c r="O14" s="56"/>
      <c r="P14" s="56"/>
      <c r="Q14" s="56"/>
      <c r="R14" s="56"/>
      <c r="S14" s="56"/>
      <c r="T14" s="56"/>
      <c r="U14" s="56"/>
      <c r="V14" s="56"/>
      <c r="W14" s="56"/>
      <c r="X14" s="56"/>
      <c r="Y14" s="56"/>
      <c r="Z14" s="56"/>
    </row>
    <row r="15" spans="1:26" ht="15.75" customHeight="1" x14ac:dyDescent="0.2">
      <c r="A15" s="56"/>
      <c r="B15" s="56"/>
      <c r="C15" s="56"/>
      <c r="D15" s="56"/>
      <c r="E15" s="56"/>
      <c r="F15" s="56"/>
      <c r="G15" s="56"/>
      <c r="H15" s="56"/>
      <c r="I15" s="56"/>
      <c r="J15" s="56"/>
      <c r="K15" s="56"/>
      <c r="L15" s="56"/>
      <c r="M15" s="56"/>
      <c r="N15" s="56"/>
      <c r="O15" s="56"/>
      <c r="P15" s="56"/>
      <c r="Q15" s="56"/>
      <c r="R15" s="56"/>
      <c r="S15" s="56"/>
      <c r="T15" s="56"/>
      <c r="U15" s="56"/>
      <c r="V15" s="56"/>
      <c r="W15" s="56"/>
      <c r="X15" s="56"/>
      <c r="Y15" s="56"/>
      <c r="Z15" s="56"/>
    </row>
    <row r="16" spans="1:26" ht="15.75" customHeight="1" x14ac:dyDescent="0.2">
      <c r="A16" s="56"/>
      <c r="B16" s="56"/>
      <c r="C16" s="56"/>
      <c r="D16" s="56"/>
      <c r="E16" s="56"/>
      <c r="F16" s="56"/>
      <c r="G16" s="56"/>
      <c r="H16" s="56"/>
      <c r="I16" s="56"/>
      <c r="J16" s="56"/>
      <c r="K16" s="56"/>
      <c r="L16" s="56"/>
      <c r="M16" s="56"/>
      <c r="N16" s="56"/>
      <c r="O16" s="56"/>
      <c r="P16" s="56"/>
      <c r="Q16" s="56"/>
      <c r="R16" s="56"/>
      <c r="S16" s="56"/>
      <c r="T16" s="56"/>
      <c r="U16" s="56"/>
      <c r="V16" s="56"/>
      <c r="W16" s="56"/>
      <c r="X16" s="56"/>
      <c r="Y16" s="56"/>
      <c r="Z16" s="56"/>
    </row>
    <row r="17" spans="1:26" ht="15.75" customHeight="1" x14ac:dyDescent="0.2">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spans="1:26" ht="15.75" customHeight="1" x14ac:dyDescent="0.2">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spans="1:26" ht="15.75" customHeight="1" x14ac:dyDescent="0.2">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spans="1:26" ht="15.75" customHeight="1" x14ac:dyDescent="0.2">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spans="1:26" ht="15.75" customHeight="1" x14ac:dyDescent="0.2">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spans="1:26" ht="15.75" customHeight="1" x14ac:dyDescent="0.2">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spans="1:26" ht="15.75" customHeight="1" x14ac:dyDescent="0.2">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spans="1:26" ht="15.75" customHeight="1" x14ac:dyDescent="0.2">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spans="1:26" ht="15.75" customHeight="1" x14ac:dyDescent="0.2">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spans="1:26" ht="15.75" customHeight="1" x14ac:dyDescent="0.2">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spans="1:26" ht="15.75" customHeight="1" x14ac:dyDescent="0.2">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spans="1:26" ht="15.75" customHeight="1" x14ac:dyDescent="0.2">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spans="1:26" ht="15.75" customHeight="1" x14ac:dyDescent="0.2">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spans="1:26" ht="15.75" customHeight="1" x14ac:dyDescent="0.2">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spans="1:26" ht="15.75" customHeight="1" x14ac:dyDescent="0.2">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row>
    <row r="32" spans="1:26" ht="15.75" customHeight="1" x14ac:dyDescent="0.2">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row>
    <row r="33" spans="1:26" ht="15.75" customHeight="1" x14ac:dyDescent="0.2">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row>
    <row r="34" spans="1:26" ht="15.75" customHeight="1" x14ac:dyDescent="0.2">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row>
    <row r="35" spans="1:26" ht="15.75" customHeight="1" x14ac:dyDescent="0.2">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row>
    <row r="36" spans="1:26" ht="15.75" customHeight="1" x14ac:dyDescent="0.2">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row>
    <row r="37" spans="1:26" ht="15.75" customHeight="1" x14ac:dyDescent="0.2">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spans="1:26" ht="15.75" customHeight="1" x14ac:dyDescent="0.2">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spans="1:26" ht="15.75" customHeight="1" x14ac:dyDescent="0.2">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spans="1:26" ht="15.75" customHeight="1" x14ac:dyDescent="0.2">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spans="1:26" ht="15.75" customHeight="1" x14ac:dyDescent="0.2">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row>
    <row r="42" spans="1:26" ht="15.75" customHeight="1" x14ac:dyDescent="0.2">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row>
    <row r="43" spans="1:26" ht="15.75" customHeight="1" x14ac:dyDescent="0.2">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row>
    <row r="44" spans="1:26" ht="15.75" customHeight="1" x14ac:dyDescent="0.2">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row>
    <row r="45" spans="1:26" ht="15.75" customHeight="1" x14ac:dyDescent="0.2">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row>
    <row r="46" spans="1:26" ht="15.75" customHeight="1" x14ac:dyDescent="0.2">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row>
    <row r="47" spans="1:26" ht="15.75" customHeight="1" x14ac:dyDescent="0.2">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spans="1:26" ht="15.75" customHeight="1" x14ac:dyDescent="0.2">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spans="1:26" ht="15.75" customHeight="1" x14ac:dyDescent="0.2">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spans="1:26" ht="15.75" customHeight="1" x14ac:dyDescent="0.2">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spans="1:26" ht="15.75" customHeight="1" x14ac:dyDescent="0.2">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spans="1:26" ht="15.75" customHeight="1" x14ac:dyDescent="0.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spans="1:26" ht="15.75" customHeight="1" x14ac:dyDescent="0.2">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spans="1:26" ht="15.75" customHeight="1" x14ac:dyDescent="0.2">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spans="1:26" ht="15.75" customHeight="1" x14ac:dyDescent="0.2">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spans="1:26" ht="15.75" customHeight="1" x14ac:dyDescent="0.2">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spans="1:26" ht="15.75" customHeight="1" x14ac:dyDescent="0.2">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spans="1:26" ht="15.75" customHeight="1" x14ac:dyDescent="0.2">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spans="1:26" ht="15.75" customHeight="1" x14ac:dyDescent="0.2">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spans="1:26" ht="15.75" customHeight="1" x14ac:dyDescent="0.2">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spans="1:26" ht="15.75" customHeight="1" x14ac:dyDescent="0.2">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spans="1:26" ht="15.75" customHeight="1" x14ac:dyDescent="0.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spans="1:26" ht="15.75" customHeight="1" x14ac:dyDescent="0.2">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spans="1:26" ht="15.75" customHeight="1" x14ac:dyDescent="0.2">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spans="1:26" ht="15.75" customHeight="1" x14ac:dyDescent="0.2">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spans="1:26" ht="15.75" customHeight="1" x14ac:dyDescent="0.2">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spans="1:26" ht="15.75" customHeight="1" x14ac:dyDescent="0.2">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spans="1:26" ht="15.75" customHeight="1" x14ac:dyDescent="0.2">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spans="1:26" ht="15.75" customHeight="1" x14ac:dyDescent="0.2">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spans="1:26" ht="15.75" customHeight="1" x14ac:dyDescent="0.2">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spans="1:26" ht="15.75" customHeight="1" x14ac:dyDescent="0.2">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spans="1:26" ht="15.75" customHeight="1" x14ac:dyDescent="0.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spans="1:26" ht="15.75" customHeight="1" x14ac:dyDescent="0.2">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spans="1:26" ht="15.75" customHeight="1" x14ac:dyDescent="0.2">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spans="1:26" ht="15.75" customHeight="1" x14ac:dyDescent="0.2">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spans="1:26" ht="15.75" customHeight="1" x14ac:dyDescent="0.2">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spans="1:26" ht="15.75" customHeight="1" x14ac:dyDescent="0.2">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spans="1:26" ht="15.75" customHeight="1" x14ac:dyDescent="0.2">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spans="1:26" ht="15.75" customHeight="1" x14ac:dyDescent="0.2">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spans="1:26" ht="15.75" customHeight="1" x14ac:dyDescent="0.2">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spans="1:26" ht="15.75" customHeight="1" x14ac:dyDescent="0.2">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spans="1:26" ht="15.75" customHeight="1" x14ac:dyDescent="0.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spans="1:26" ht="15.75" customHeight="1" x14ac:dyDescent="0.2">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spans="1:26" ht="15.75" customHeight="1" x14ac:dyDescent="0.2">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spans="1:26" ht="15.75" customHeight="1" x14ac:dyDescent="0.2">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spans="1:26" ht="15.75" customHeight="1" x14ac:dyDescent="0.2">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spans="1:26" ht="15.75" customHeight="1" x14ac:dyDescent="0.2">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spans="1:26" ht="15.75" customHeight="1" x14ac:dyDescent="0.2">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spans="1:26" ht="15.75" customHeight="1" x14ac:dyDescent="0.2">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spans="1:26" ht="15.75" customHeight="1" x14ac:dyDescent="0.2">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spans="1:26" ht="15.75" customHeight="1" x14ac:dyDescent="0.2">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spans="1:26" ht="15.75" customHeight="1" x14ac:dyDescent="0.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spans="1:26" ht="15.75" customHeight="1" x14ac:dyDescent="0.2">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spans="1:26" ht="15.75" customHeight="1" x14ac:dyDescent="0.2">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spans="1:26" ht="15.75" customHeight="1" x14ac:dyDescent="0.2">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spans="1:26" ht="15.75" customHeight="1" x14ac:dyDescent="0.2">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spans="1:26" ht="15.75" customHeight="1" x14ac:dyDescent="0.2">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spans="1:26" ht="15.75" customHeight="1" x14ac:dyDescent="0.2">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spans="1:26" ht="15.75" customHeight="1" x14ac:dyDescent="0.2">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spans="1:26" ht="15.75" customHeight="1" x14ac:dyDescent="0.2">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spans="1:26" ht="15.75" customHeight="1" x14ac:dyDescent="0.2">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spans="1:26" ht="15.75" customHeight="1" x14ac:dyDescent="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spans="1:26" ht="15.75" customHeight="1" x14ac:dyDescent="0.2">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spans="1:26" ht="15.75" customHeight="1" x14ac:dyDescent="0.2">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spans="1:26" ht="15.75" customHeight="1" x14ac:dyDescent="0.2">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spans="1:26" ht="15.75" customHeight="1" x14ac:dyDescent="0.2">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spans="1:26" ht="15.75" customHeight="1" x14ac:dyDescent="0.2">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spans="1:26" ht="15.75" customHeight="1" x14ac:dyDescent="0.2">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spans="1:26" ht="15.75" customHeight="1" x14ac:dyDescent="0.2">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spans="1:26" ht="15.75" customHeight="1" x14ac:dyDescent="0.2">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spans="1:26" ht="15.75" customHeight="1" x14ac:dyDescent="0.2">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spans="1:26" ht="15.75" customHeight="1" x14ac:dyDescent="0.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spans="1:26" ht="15.75" customHeight="1" x14ac:dyDescent="0.2">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spans="1:26" ht="15.75" customHeight="1" x14ac:dyDescent="0.2">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spans="1:26" ht="15.75" customHeight="1" x14ac:dyDescent="0.2">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spans="1:26" ht="15.75" customHeight="1" x14ac:dyDescent="0.2">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spans="1:26" ht="15.75" customHeight="1" x14ac:dyDescent="0.2">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spans="1:26" ht="15.75" customHeight="1" x14ac:dyDescent="0.2">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spans="1:26" ht="15.75" customHeight="1" x14ac:dyDescent="0.2">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spans="1:26" ht="15.75" customHeight="1" x14ac:dyDescent="0.2">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spans="1:26" ht="15.75" customHeight="1" x14ac:dyDescent="0.2">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spans="1:26" ht="15.75" customHeight="1" x14ac:dyDescent="0.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spans="1:26" ht="15.75" customHeight="1" x14ac:dyDescent="0.2">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spans="1:26" ht="15.75" customHeight="1" x14ac:dyDescent="0.2">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spans="1:26" ht="15.75" customHeight="1" x14ac:dyDescent="0.2">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spans="1:26" ht="15.75" customHeight="1" x14ac:dyDescent="0.2">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spans="1:26" ht="15.75" customHeight="1" x14ac:dyDescent="0.2">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spans="1:26" ht="15.75" customHeight="1" x14ac:dyDescent="0.2">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spans="1:26" ht="15.75" customHeight="1" x14ac:dyDescent="0.2">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spans="1:26" ht="15.75" customHeight="1" x14ac:dyDescent="0.2">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spans="1:26" ht="15.75" customHeight="1" x14ac:dyDescent="0.2">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spans="1:26" ht="15.75" customHeight="1" x14ac:dyDescent="0.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spans="1:26" ht="15.75" customHeight="1" x14ac:dyDescent="0.2">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spans="1:26" ht="15.75" customHeight="1" x14ac:dyDescent="0.2">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spans="1:26" ht="15.75" customHeight="1" x14ac:dyDescent="0.2">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spans="1:26" ht="15.75" customHeight="1" x14ac:dyDescent="0.2">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spans="1:26" ht="15.75" customHeight="1" x14ac:dyDescent="0.2">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spans="1:26" ht="15.75" customHeight="1" x14ac:dyDescent="0.2">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spans="1:26" ht="15.75" customHeight="1" x14ac:dyDescent="0.2">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spans="1:26" ht="15.75" customHeight="1" x14ac:dyDescent="0.2">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spans="1:26" ht="15.75" customHeight="1" x14ac:dyDescent="0.2">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spans="1:26" ht="15.75" customHeight="1" x14ac:dyDescent="0.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spans="1:26" ht="15.75" customHeight="1" x14ac:dyDescent="0.2">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spans="1:26" ht="15.75" customHeight="1" x14ac:dyDescent="0.2">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spans="1:26" ht="15.75" customHeight="1" x14ac:dyDescent="0.2">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spans="1:26" ht="15.75" customHeight="1" x14ac:dyDescent="0.2">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spans="1:26" ht="15.75" customHeight="1" x14ac:dyDescent="0.2">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spans="1:26" ht="15.75" customHeight="1" x14ac:dyDescent="0.2">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spans="1:26" ht="15.75" customHeight="1" x14ac:dyDescent="0.2">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spans="1:26" ht="15.75" customHeight="1" x14ac:dyDescent="0.2">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spans="1:26" ht="15.75" customHeight="1" x14ac:dyDescent="0.2">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spans="1:26" ht="15.75" customHeight="1" x14ac:dyDescent="0.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spans="1:26" ht="15.75" customHeight="1" x14ac:dyDescent="0.2">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spans="1:26" ht="15.75" customHeight="1" x14ac:dyDescent="0.2">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spans="1:26" ht="15.75" customHeight="1" x14ac:dyDescent="0.2">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spans="1:26" ht="15.75" customHeight="1" x14ac:dyDescent="0.2">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spans="1:26" ht="15.75" customHeight="1" x14ac:dyDescent="0.2">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spans="1:26" ht="15.75" customHeight="1" x14ac:dyDescent="0.2">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spans="1:26" ht="15.75" customHeight="1" x14ac:dyDescent="0.2">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spans="1:26" ht="15.75" customHeight="1" x14ac:dyDescent="0.2">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spans="1:26" ht="15.75" customHeight="1" x14ac:dyDescent="0.2">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spans="1:26" ht="15.75" customHeight="1" x14ac:dyDescent="0.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spans="1:26" ht="15.75" customHeight="1" x14ac:dyDescent="0.2">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spans="1:26" ht="15.75" customHeight="1" x14ac:dyDescent="0.2">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spans="1:26" ht="15.75" customHeight="1" x14ac:dyDescent="0.2">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spans="1:26" ht="15.75" customHeight="1" x14ac:dyDescent="0.2">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spans="1:26" ht="15.75" customHeight="1" x14ac:dyDescent="0.2">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spans="1:26" ht="15.75" customHeight="1" x14ac:dyDescent="0.2">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spans="1:26" ht="15.75" customHeight="1" x14ac:dyDescent="0.2">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spans="1:26" ht="15.75" customHeight="1" x14ac:dyDescent="0.2">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spans="1:26" ht="15.75" customHeight="1" x14ac:dyDescent="0.2">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spans="1:26" ht="15.75" customHeight="1" x14ac:dyDescent="0.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spans="1:26" ht="15.75" customHeight="1" x14ac:dyDescent="0.2">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spans="1:26" ht="15.75" customHeight="1" x14ac:dyDescent="0.2">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spans="1:26" ht="15.75" customHeight="1" x14ac:dyDescent="0.2">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spans="1:26" ht="15.75" customHeight="1" x14ac:dyDescent="0.2">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spans="1:26" ht="15.75" customHeight="1" x14ac:dyDescent="0.2">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spans="1:26" ht="15.75" customHeight="1" x14ac:dyDescent="0.2">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spans="1:26" ht="15.75" customHeight="1" x14ac:dyDescent="0.2">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spans="1:26" ht="15.75" customHeight="1" x14ac:dyDescent="0.2">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spans="1:26" ht="15.75" customHeight="1" x14ac:dyDescent="0.2">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spans="1:26" ht="15.75" customHeight="1" x14ac:dyDescent="0.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spans="1:26" ht="15.75" customHeight="1" x14ac:dyDescent="0.2">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spans="1:26" ht="15.75" customHeight="1" x14ac:dyDescent="0.2">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spans="1:26" ht="15.75" customHeight="1" x14ac:dyDescent="0.2">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spans="1:26" ht="15.75" customHeight="1" x14ac:dyDescent="0.2">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spans="1:26" ht="15.75" customHeight="1" x14ac:dyDescent="0.2">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spans="1:26" ht="15.75" customHeight="1" x14ac:dyDescent="0.2">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spans="1:26" ht="15.75" customHeight="1" x14ac:dyDescent="0.2">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spans="1:26" ht="15.75" customHeight="1" x14ac:dyDescent="0.2">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spans="1:26" ht="15.75" customHeight="1" x14ac:dyDescent="0.2">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spans="1:26" ht="15.75" customHeight="1" x14ac:dyDescent="0.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spans="1:26" ht="15.75" customHeight="1" x14ac:dyDescent="0.2">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spans="1:26" ht="15.75" customHeight="1" x14ac:dyDescent="0.2">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spans="1:26" ht="15.75" customHeight="1" x14ac:dyDescent="0.2">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spans="1:26" ht="15.75" customHeight="1" x14ac:dyDescent="0.2">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spans="1:26" ht="15.75" customHeight="1" x14ac:dyDescent="0.2">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spans="1:26" ht="15.75" customHeight="1" x14ac:dyDescent="0.2">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spans="1:26" ht="15.75" customHeight="1" x14ac:dyDescent="0.2">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spans="1:26" ht="15.75" customHeight="1" x14ac:dyDescent="0.2">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spans="1:26" ht="15.75" customHeight="1" x14ac:dyDescent="0.2">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spans="1:26" ht="15.75" customHeight="1" x14ac:dyDescent="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spans="1:26" ht="15.75" customHeight="1" x14ac:dyDescent="0.2">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spans="1:26" ht="15.75" customHeight="1" x14ac:dyDescent="0.2">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spans="1:26" ht="15.75" customHeight="1" x14ac:dyDescent="0.2">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spans="1:26" ht="15.75" customHeight="1" x14ac:dyDescent="0.2">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spans="1:26" ht="15.75" customHeight="1" x14ac:dyDescent="0.2">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spans="1:26" ht="15.75" customHeight="1" x14ac:dyDescent="0.2">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spans="1:26" ht="15.75" customHeight="1" x14ac:dyDescent="0.2">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spans="1:26" ht="15.75" customHeight="1" x14ac:dyDescent="0.2">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spans="1:26" ht="15.75" customHeight="1" x14ac:dyDescent="0.2">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spans="1:26" ht="15.75" customHeight="1" x14ac:dyDescent="0.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spans="1:26" ht="15.75" customHeight="1" x14ac:dyDescent="0.2">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spans="1:26" ht="15.75" customHeight="1" x14ac:dyDescent="0.2">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spans="1:26" ht="15.75" customHeight="1" x14ac:dyDescent="0.2">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spans="1:26" ht="15.75" customHeight="1" x14ac:dyDescent="0.2">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spans="1:26" ht="15.75" customHeight="1" x14ac:dyDescent="0.2">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spans="1:26" ht="15.75" customHeight="1" x14ac:dyDescent="0.2">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spans="1:26" ht="15.75" customHeight="1" x14ac:dyDescent="0.2">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spans="1:26" ht="15.75" customHeight="1" x14ac:dyDescent="0.2">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spans="1:26" ht="15.75" customHeight="1" x14ac:dyDescent="0.2">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spans="1:26" ht="15.75" customHeight="1" x14ac:dyDescent="0.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spans="1:26" ht="15.75" customHeight="1" x14ac:dyDescent="0.2">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spans="1:26" ht="15.75" customHeight="1" x14ac:dyDescent="0.2">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spans="1:26" ht="15.75" customHeight="1" x14ac:dyDescent="0.2">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spans="1:26" ht="15.75" customHeight="1" x14ac:dyDescent="0.2">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spans="1:26" ht="15.75" customHeight="1" x14ac:dyDescent="0.2">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spans="1:26" ht="15.75" customHeight="1" x14ac:dyDescent="0.2">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spans="1:26" ht="15.75" customHeight="1" x14ac:dyDescent="0.2">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spans="1:26" ht="15.75" customHeight="1" x14ac:dyDescent="0.2">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spans="1:26" ht="15.75" customHeight="1" x14ac:dyDescent="0.2">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spans="1:26" ht="15.75" customHeight="1" x14ac:dyDescent="0.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spans="1:26" ht="15.75" customHeight="1" x14ac:dyDescent="0.2">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spans="1:26" ht="15.75" customHeight="1" x14ac:dyDescent="0.2">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spans="1:26" ht="15.75" customHeight="1" x14ac:dyDescent="0.2">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spans="1:26" ht="15.75" customHeight="1" x14ac:dyDescent="0.2">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spans="1:26" ht="15.75" customHeight="1" x14ac:dyDescent="0.2">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spans="1:26" ht="15.75" customHeight="1" x14ac:dyDescent="0.2">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spans="1:26" ht="15.75" customHeight="1" x14ac:dyDescent="0.2">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spans="1:26" ht="15.75" customHeight="1" x14ac:dyDescent="0.2">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spans="1:26" ht="15.75" customHeight="1" x14ac:dyDescent="0.2">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spans="1:26" ht="15.75" customHeight="1" x14ac:dyDescent="0.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spans="1:26" ht="15.75" customHeight="1" x14ac:dyDescent="0.2">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spans="1:26" ht="15.75" customHeight="1" x14ac:dyDescent="0.2">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spans="1:26" ht="15.75" customHeight="1" x14ac:dyDescent="0.2">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spans="1:26" ht="15.75" customHeight="1" x14ac:dyDescent="0.2">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spans="1:26" ht="15.75" customHeight="1" x14ac:dyDescent="0.2">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spans="1:26" ht="15.75" customHeight="1" x14ac:dyDescent="0.2">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spans="1:26" ht="15.75" customHeight="1" x14ac:dyDescent="0.2">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spans="1:26" ht="15.75" customHeight="1" x14ac:dyDescent="0.2">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spans="1:26" ht="15.75" customHeight="1" x14ac:dyDescent="0.2">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spans="1:26" ht="15.75" customHeight="1" x14ac:dyDescent="0.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spans="1:26" ht="15.75" customHeight="1" x14ac:dyDescent="0.2">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spans="1:26" ht="15.75" customHeight="1" x14ac:dyDescent="0.2">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spans="1:26" ht="15.75" customHeight="1" x14ac:dyDescent="0.2">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spans="1:26" ht="15.75" customHeight="1" x14ac:dyDescent="0.2">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spans="1:26" ht="15.75" customHeight="1" x14ac:dyDescent="0.2">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spans="1:26" ht="15.75" customHeight="1" x14ac:dyDescent="0.2">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spans="1:26" ht="15.75" customHeight="1" x14ac:dyDescent="0.2">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spans="1:26" ht="15.75" customHeight="1" x14ac:dyDescent="0.2">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spans="1:26" ht="15.75" customHeight="1" x14ac:dyDescent="0.2">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spans="1:26" ht="15.75" customHeight="1" x14ac:dyDescent="0.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spans="1:26" ht="15.75" customHeight="1" x14ac:dyDescent="0.2">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spans="1:26" ht="15.75" customHeight="1" x14ac:dyDescent="0.2">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spans="1:26" ht="15.75" customHeight="1" x14ac:dyDescent="0.2">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spans="1:26" ht="15.75" customHeight="1" x14ac:dyDescent="0.2">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spans="1:26" ht="15.75" customHeight="1" x14ac:dyDescent="0.2">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spans="1:26" ht="15.75" customHeight="1" x14ac:dyDescent="0.2">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spans="1:26" ht="15.75" customHeight="1" x14ac:dyDescent="0.2">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spans="1:26" ht="15.75" customHeight="1" x14ac:dyDescent="0.2">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spans="1:26" ht="15.75" customHeight="1" x14ac:dyDescent="0.2">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spans="1:26" ht="15.75" customHeight="1" x14ac:dyDescent="0.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spans="1:26" ht="15.75" customHeight="1" x14ac:dyDescent="0.2">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spans="1:26" ht="15.75" customHeight="1" x14ac:dyDescent="0.2">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spans="1:26" ht="15.75" customHeight="1" x14ac:dyDescent="0.2">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spans="1:26" ht="15.75" customHeight="1" x14ac:dyDescent="0.2">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spans="1:26" ht="15.75" customHeight="1" x14ac:dyDescent="0.2">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spans="1:26" ht="15.75" customHeight="1" x14ac:dyDescent="0.2">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spans="1:26" ht="15.75" customHeight="1" x14ac:dyDescent="0.2">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spans="1:26" ht="15.75" customHeight="1" x14ac:dyDescent="0.2">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spans="1:26" ht="15.75" customHeight="1" x14ac:dyDescent="0.2">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spans="1:26" ht="15.75" customHeight="1" x14ac:dyDescent="0.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spans="1:26" ht="15.75" customHeight="1" x14ac:dyDescent="0.2">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spans="1:26" ht="15.75" customHeight="1" x14ac:dyDescent="0.2">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spans="1:26" ht="15.75" customHeight="1" x14ac:dyDescent="0.2">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spans="1:26" ht="15.75" customHeight="1" x14ac:dyDescent="0.2">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spans="1:26" ht="15.75" customHeight="1" x14ac:dyDescent="0.2">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spans="1:26" ht="15.75" customHeight="1" x14ac:dyDescent="0.2">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spans="1:26" ht="15.75" customHeight="1" x14ac:dyDescent="0.2">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spans="1:26" ht="15.75" customHeight="1" x14ac:dyDescent="0.2">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spans="1:26" ht="15.75" customHeight="1" x14ac:dyDescent="0.2">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spans="1:26" ht="15.75" customHeight="1" x14ac:dyDescent="0.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spans="1:26" ht="15.75" customHeight="1" x14ac:dyDescent="0.2">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spans="1:26" ht="15.75" customHeight="1" x14ac:dyDescent="0.2">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spans="1:26" ht="15.75" customHeight="1" x14ac:dyDescent="0.2">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spans="1:26" ht="15.75" customHeight="1" x14ac:dyDescent="0.2">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spans="1:26" ht="15.75" customHeight="1" x14ac:dyDescent="0.2">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spans="1:26" ht="15.75" customHeight="1" x14ac:dyDescent="0.2">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spans="1:26" ht="15.75" customHeight="1" x14ac:dyDescent="0.2">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spans="1:26" ht="15.75" customHeight="1" x14ac:dyDescent="0.2">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spans="1:26" ht="15.75" customHeight="1" x14ac:dyDescent="0.2">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spans="1:26" ht="15.75" customHeight="1" x14ac:dyDescent="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spans="1:26" ht="15.75" customHeight="1" x14ac:dyDescent="0.2">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spans="1:26" ht="15.75" customHeight="1" x14ac:dyDescent="0.2">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spans="1:26" ht="15.75" customHeight="1" x14ac:dyDescent="0.2">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spans="1:26" ht="15.75" customHeight="1" x14ac:dyDescent="0.2">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spans="1:26" ht="15.75" customHeight="1" x14ac:dyDescent="0.2">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spans="1:26" ht="15.75" customHeight="1" x14ac:dyDescent="0.2">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spans="1:26" ht="15.75" customHeight="1" x14ac:dyDescent="0.2">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spans="1:26" ht="15.75" customHeight="1" x14ac:dyDescent="0.2">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spans="1:26" ht="15.75" customHeight="1" x14ac:dyDescent="0.2">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spans="1:26" ht="15.75" customHeight="1" x14ac:dyDescent="0.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spans="1:26" ht="15.75" customHeight="1" x14ac:dyDescent="0.2">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spans="1:26" ht="15.75" customHeight="1" x14ac:dyDescent="0.2">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spans="1:26" ht="15.75" customHeight="1" x14ac:dyDescent="0.2">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spans="1:26" ht="15.75" customHeight="1" x14ac:dyDescent="0.2">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spans="1:26" ht="15.75" customHeight="1" x14ac:dyDescent="0.2">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spans="1:26" ht="15.75" customHeight="1" x14ac:dyDescent="0.2">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spans="1:26" ht="15.75" customHeight="1" x14ac:dyDescent="0.2">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spans="1:26" ht="15.75" customHeight="1" x14ac:dyDescent="0.2">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spans="1:26" ht="15.75" customHeight="1" x14ac:dyDescent="0.2">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spans="1:26" ht="15.75" customHeight="1" x14ac:dyDescent="0.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spans="1:26" ht="15.75" customHeight="1" x14ac:dyDescent="0.2">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spans="1:26" ht="15.75" customHeight="1" x14ac:dyDescent="0.2">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spans="1:26" ht="15.75" customHeight="1" x14ac:dyDescent="0.2">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spans="1:26" ht="15.75" customHeight="1" x14ac:dyDescent="0.2">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spans="1:26" ht="15.75" customHeight="1" x14ac:dyDescent="0.2">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spans="1:26" ht="15.75" customHeight="1" x14ac:dyDescent="0.2">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spans="1:26" ht="15.75" customHeight="1" x14ac:dyDescent="0.2">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spans="1:26" ht="15.75" customHeight="1" x14ac:dyDescent="0.2">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spans="1:26" ht="15.75" customHeight="1" x14ac:dyDescent="0.2">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spans="1:26" ht="15.75" customHeight="1" x14ac:dyDescent="0.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spans="1:26" ht="15.75" customHeight="1" x14ac:dyDescent="0.2">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spans="1:26" ht="15.75" customHeight="1" x14ac:dyDescent="0.2">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spans="1:26" ht="15.75" customHeight="1" x14ac:dyDescent="0.2">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spans="1:26" ht="15.75" customHeight="1" x14ac:dyDescent="0.2">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spans="1:26" ht="15.75" customHeight="1" x14ac:dyDescent="0.2">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spans="1:26" ht="15.75" customHeight="1" x14ac:dyDescent="0.2">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spans="1:26" ht="15.75" customHeight="1" x14ac:dyDescent="0.2">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spans="1:26" ht="15.75" customHeight="1" x14ac:dyDescent="0.2">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spans="1:26" ht="15.75" customHeight="1" x14ac:dyDescent="0.2">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spans="1:26" ht="15.75" customHeight="1" x14ac:dyDescent="0.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spans="1:26" ht="15.75" customHeight="1" x14ac:dyDescent="0.2">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spans="1:26" ht="15.75" customHeight="1" x14ac:dyDescent="0.2">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spans="1:26" ht="15.75" customHeight="1" x14ac:dyDescent="0.2">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spans="1:26" ht="15.75" customHeight="1" x14ac:dyDescent="0.2">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spans="1:26" ht="15.75" customHeight="1" x14ac:dyDescent="0.2">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spans="1:26" ht="15.75" customHeight="1" x14ac:dyDescent="0.2">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spans="1:26" ht="15.75" customHeight="1" x14ac:dyDescent="0.2">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spans="1:26" ht="15.75" customHeight="1" x14ac:dyDescent="0.2">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spans="1:26" ht="15.75" customHeight="1" x14ac:dyDescent="0.2">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spans="1:26" ht="15.75" customHeight="1" x14ac:dyDescent="0.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spans="1:26" ht="15.75" customHeight="1" x14ac:dyDescent="0.2">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spans="1:26" ht="15.75" customHeight="1" x14ac:dyDescent="0.2">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spans="1:26" ht="15.75" customHeight="1" x14ac:dyDescent="0.2">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spans="1:26" ht="15.75" customHeight="1" x14ac:dyDescent="0.2">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spans="1:26" ht="15.75" customHeight="1" x14ac:dyDescent="0.2">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spans="1:26" ht="15.75" customHeight="1" x14ac:dyDescent="0.2">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spans="1:26" ht="15.75" customHeight="1" x14ac:dyDescent="0.2">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spans="1:26" ht="15.75" customHeight="1" x14ac:dyDescent="0.2">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spans="1:26" ht="15.75" customHeight="1" x14ac:dyDescent="0.2">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spans="1:26" ht="15.75" customHeight="1" x14ac:dyDescent="0.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spans="1:26" ht="15.75" customHeight="1" x14ac:dyDescent="0.2">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spans="1:26" ht="15.75" customHeight="1" x14ac:dyDescent="0.2">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spans="1:26" ht="15.75" customHeight="1" x14ac:dyDescent="0.2">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spans="1:26" ht="15.75" customHeight="1" x14ac:dyDescent="0.2">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spans="1:26" ht="15.75" customHeight="1" x14ac:dyDescent="0.2">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spans="1:26" ht="15.75" customHeight="1" x14ac:dyDescent="0.2">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spans="1:26" ht="15.75" customHeight="1" x14ac:dyDescent="0.2">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spans="1:26" ht="15.75" customHeight="1" x14ac:dyDescent="0.2">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spans="1:26" ht="15.75" customHeight="1" x14ac:dyDescent="0.2">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spans="1:26" ht="15.75" customHeight="1" x14ac:dyDescent="0.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spans="1:26" ht="15.75" customHeight="1" x14ac:dyDescent="0.2">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spans="1:26" ht="15.75" customHeight="1" x14ac:dyDescent="0.2">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spans="1:26" ht="15.75" customHeight="1" x14ac:dyDescent="0.2">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spans="1:26" ht="15.75" customHeight="1" x14ac:dyDescent="0.2">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spans="1:26" ht="15.75" customHeight="1" x14ac:dyDescent="0.2">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spans="1:26" ht="15.75" customHeight="1" x14ac:dyDescent="0.2">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spans="1:26" ht="15.75" customHeight="1" x14ac:dyDescent="0.2">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spans="1:26" ht="15.75" customHeight="1" x14ac:dyDescent="0.2">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spans="1:26" ht="15.75" customHeight="1" x14ac:dyDescent="0.2">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spans="1:26" ht="15.75" customHeight="1" x14ac:dyDescent="0.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spans="1:26" ht="15.75" customHeight="1" x14ac:dyDescent="0.2">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spans="1:26" ht="15.75" customHeight="1" x14ac:dyDescent="0.2">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spans="1:26" ht="15.75" customHeight="1" x14ac:dyDescent="0.2">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spans="1:26" ht="15.75" customHeight="1" x14ac:dyDescent="0.2">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spans="1:26" ht="15.75" customHeight="1" x14ac:dyDescent="0.2">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spans="1:26" ht="15.75" customHeight="1" x14ac:dyDescent="0.2">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spans="1:26" ht="15.75" customHeight="1" x14ac:dyDescent="0.2">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spans="1:26" ht="15.75" customHeight="1" x14ac:dyDescent="0.2">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spans="1:26" ht="15.75" customHeight="1" x14ac:dyDescent="0.2">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spans="1:26" ht="15.75" customHeight="1" x14ac:dyDescent="0.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spans="1:26" ht="15.75" customHeight="1" x14ac:dyDescent="0.2">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spans="1:26" ht="15.75" customHeight="1" x14ac:dyDescent="0.2">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spans="1:26" ht="15.75" customHeight="1" x14ac:dyDescent="0.2">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spans="1:26" ht="15.75" customHeight="1" x14ac:dyDescent="0.2">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spans="1:26" ht="15.75" customHeight="1" x14ac:dyDescent="0.2">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spans="1:26" ht="15.75" customHeight="1" x14ac:dyDescent="0.2">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spans="1:26" ht="15.75" customHeight="1" x14ac:dyDescent="0.2">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spans="1:26" ht="15.75" customHeight="1" x14ac:dyDescent="0.2">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spans="1:26" ht="15.75" customHeight="1" x14ac:dyDescent="0.2">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spans="1:26" ht="15.75" customHeight="1" x14ac:dyDescent="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spans="1:26" ht="15.75" customHeight="1" x14ac:dyDescent="0.2">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spans="1:26" ht="15.75" customHeight="1" x14ac:dyDescent="0.2">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spans="1:26" ht="15.75" customHeight="1" x14ac:dyDescent="0.2">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spans="1:26" ht="15.75" customHeight="1" x14ac:dyDescent="0.2">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spans="1:26" ht="15.75" customHeight="1" x14ac:dyDescent="0.2">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spans="1:26" ht="15.75" customHeight="1" x14ac:dyDescent="0.2">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spans="1:26" ht="15.75" customHeight="1" x14ac:dyDescent="0.2">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spans="1:26" ht="15.75" customHeight="1" x14ac:dyDescent="0.2">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spans="1:26" ht="15.75" customHeight="1" x14ac:dyDescent="0.2">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spans="1:26" ht="15.75" customHeight="1" x14ac:dyDescent="0.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spans="1:26" ht="15.75" customHeight="1" x14ac:dyDescent="0.2">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spans="1:26" ht="15.75" customHeight="1" x14ac:dyDescent="0.2">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spans="1:26" ht="15.75" customHeight="1" x14ac:dyDescent="0.2">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spans="1:26" ht="15.75" customHeight="1" x14ac:dyDescent="0.2">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spans="1:26" ht="15.75" customHeight="1" x14ac:dyDescent="0.2">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spans="1:26" ht="15.75" customHeight="1" x14ac:dyDescent="0.2">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spans="1:26" ht="15.75" customHeight="1" x14ac:dyDescent="0.2">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spans="1:26" ht="15.75" customHeight="1" x14ac:dyDescent="0.2">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spans="1:26" ht="15.75" customHeight="1" x14ac:dyDescent="0.2">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spans="1:26" ht="15.75" customHeight="1" x14ac:dyDescent="0.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spans="1:26" ht="15.75" customHeight="1" x14ac:dyDescent="0.2">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spans="1:26" ht="15.75" customHeight="1" x14ac:dyDescent="0.2">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spans="1:26" ht="15.75" customHeight="1" x14ac:dyDescent="0.2">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spans="1:26" ht="15.75" customHeight="1" x14ac:dyDescent="0.2">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spans="1:26" ht="15.75" customHeight="1" x14ac:dyDescent="0.2">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spans="1:26" ht="15.75" customHeight="1" x14ac:dyDescent="0.2">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spans="1:26" ht="15.75" customHeight="1" x14ac:dyDescent="0.2">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spans="1:26" ht="15.75" customHeight="1" x14ac:dyDescent="0.2">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spans="1:26" ht="15.75" customHeight="1" x14ac:dyDescent="0.2">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spans="1:26" ht="15.75" customHeight="1" x14ac:dyDescent="0.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spans="1:26" ht="15.75" customHeight="1" x14ac:dyDescent="0.2">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spans="1:26" ht="15.75" customHeight="1" x14ac:dyDescent="0.2">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spans="1:26" ht="15.75" customHeight="1" x14ac:dyDescent="0.2">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spans="1:26" ht="15.75" customHeight="1" x14ac:dyDescent="0.2">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spans="1:26" ht="15.75" customHeight="1" x14ac:dyDescent="0.2">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spans="1:26" ht="15.75" customHeight="1" x14ac:dyDescent="0.2">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spans="1:26" ht="15.75" customHeight="1" x14ac:dyDescent="0.2">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spans="1:26" ht="15.75" customHeight="1" x14ac:dyDescent="0.2">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spans="1:26" ht="15.75" customHeight="1" x14ac:dyDescent="0.2">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spans="1:26" ht="15.75" customHeight="1" x14ac:dyDescent="0.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spans="1:26" ht="15.75" customHeight="1" x14ac:dyDescent="0.2">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spans="1:26" ht="15.75" customHeight="1" x14ac:dyDescent="0.2">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spans="1:26" ht="15.75" customHeight="1" x14ac:dyDescent="0.2">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spans="1:26" ht="15.75" customHeight="1" x14ac:dyDescent="0.2">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spans="1:26" ht="15.75" customHeight="1" x14ac:dyDescent="0.2">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spans="1:26" ht="15.75" customHeight="1" x14ac:dyDescent="0.2">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spans="1:26" ht="15.75" customHeight="1" x14ac:dyDescent="0.2">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spans="1:26" ht="15.75" customHeight="1" x14ac:dyDescent="0.2">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spans="1:26" ht="15.75" customHeight="1" x14ac:dyDescent="0.2">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spans="1:26" ht="15.75" customHeight="1" x14ac:dyDescent="0.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spans="1:26" ht="15.75" customHeight="1" x14ac:dyDescent="0.2">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spans="1:26" ht="15.75" customHeight="1" x14ac:dyDescent="0.2">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spans="1:26" ht="15.75" customHeight="1" x14ac:dyDescent="0.2">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spans="1:26" ht="15.75" customHeight="1" x14ac:dyDescent="0.2">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spans="1:26" ht="15.75" customHeight="1" x14ac:dyDescent="0.2">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spans="1:26" ht="15.75" customHeight="1" x14ac:dyDescent="0.2">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spans="1:26" ht="15.75" customHeight="1" x14ac:dyDescent="0.2">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spans="1:26" ht="15.75" customHeight="1" x14ac:dyDescent="0.2">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spans="1:26" ht="15.75" customHeight="1" x14ac:dyDescent="0.2">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spans="1:26" ht="15.75" customHeight="1" x14ac:dyDescent="0.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spans="1:26" ht="15.75" customHeight="1" x14ac:dyDescent="0.2">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spans="1:26" ht="15.75" customHeight="1" x14ac:dyDescent="0.2">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spans="1:26" ht="15.75" customHeight="1" x14ac:dyDescent="0.2">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spans="1:26" ht="15.75" customHeight="1" x14ac:dyDescent="0.2">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spans="1:26" ht="15.75" customHeight="1" x14ac:dyDescent="0.2">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spans="1:26" ht="15.75" customHeight="1" x14ac:dyDescent="0.2">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spans="1:26" ht="15.75" customHeight="1" x14ac:dyDescent="0.2">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spans="1:26" ht="15.75" customHeight="1" x14ac:dyDescent="0.2">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spans="1:26" ht="15.75" customHeight="1" x14ac:dyDescent="0.2">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spans="1:26" ht="15.75" customHeight="1" x14ac:dyDescent="0.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spans="1:26" ht="15.75" customHeight="1" x14ac:dyDescent="0.2">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spans="1:26" ht="15.75" customHeight="1" x14ac:dyDescent="0.2">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spans="1:26" ht="15.75" customHeight="1" x14ac:dyDescent="0.2">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spans="1:26" ht="15.75" customHeight="1" x14ac:dyDescent="0.2">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spans="1:26" ht="15.75" customHeight="1" x14ac:dyDescent="0.2">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spans="1:26" ht="15.75" customHeight="1" x14ac:dyDescent="0.2">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spans="1:26" ht="15.75" customHeight="1" x14ac:dyDescent="0.2">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spans="1:26" ht="15.75" customHeight="1" x14ac:dyDescent="0.2">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spans="1:26" ht="15.75" customHeight="1" x14ac:dyDescent="0.2">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spans="1:26" ht="15.75" customHeight="1" x14ac:dyDescent="0.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spans="1:26" ht="15.75" customHeight="1" x14ac:dyDescent="0.2">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spans="1:26" ht="15.75" customHeight="1" x14ac:dyDescent="0.2">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spans="1:26" ht="15.75" customHeight="1" x14ac:dyDescent="0.2">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spans="1:26" ht="15.75" customHeight="1" x14ac:dyDescent="0.2">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spans="1:26" ht="15.75" customHeight="1" x14ac:dyDescent="0.2">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spans="1:26" ht="15.75" customHeight="1" x14ac:dyDescent="0.2">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spans="1:26" ht="15.75" customHeight="1" x14ac:dyDescent="0.2">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spans="1:26" ht="15.75" customHeight="1" x14ac:dyDescent="0.2">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spans="1:26" ht="15.75" customHeight="1" x14ac:dyDescent="0.2">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spans="1:26" ht="15.75" customHeight="1" x14ac:dyDescent="0.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spans="1:26" ht="15.75" customHeight="1" x14ac:dyDescent="0.2">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spans="1:26" ht="15.75" customHeight="1" x14ac:dyDescent="0.2">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spans="1:26" ht="15.75" customHeight="1" x14ac:dyDescent="0.2">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spans="1:26" ht="15.75" customHeight="1" x14ac:dyDescent="0.2">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spans="1:26" ht="15.75" customHeight="1" x14ac:dyDescent="0.2">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spans="1:26" ht="15.75" customHeight="1" x14ac:dyDescent="0.2">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spans="1:26" ht="15.75" customHeight="1" x14ac:dyDescent="0.2">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spans="1:26" ht="15.75" customHeight="1" x14ac:dyDescent="0.2">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spans="1:26" ht="15.75" customHeight="1" x14ac:dyDescent="0.2">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spans="1:26" ht="15.75" customHeight="1" x14ac:dyDescent="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spans="1:26" ht="15.75" customHeight="1" x14ac:dyDescent="0.2">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spans="1:26" ht="15.75" customHeight="1" x14ac:dyDescent="0.2">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spans="1:26" ht="15.75" customHeight="1" x14ac:dyDescent="0.2">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spans="1:26" ht="15.75" customHeight="1" x14ac:dyDescent="0.2">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spans="1:26" ht="15.75" customHeight="1" x14ac:dyDescent="0.2">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spans="1:26" ht="15.75" customHeight="1" x14ac:dyDescent="0.2">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spans="1:26" ht="15.75" customHeight="1" x14ac:dyDescent="0.2">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spans="1:26" ht="15.75" customHeight="1" x14ac:dyDescent="0.2">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spans="1:26" ht="15.75" customHeight="1" x14ac:dyDescent="0.2">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spans="1:26" ht="15.75" customHeight="1" x14ac:dyDescent="0.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spans="1:26" ht="15.75" customHeight="1" x14ac:dyDescent="0.2">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spans="1:26" ht="15.75" customHeight="1" x14ac:dyDescent="0.2">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spans="1:26" ht="15.75" customHeight="1" x14ac:dyDescent="0.2">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spans="1:26" ht="15.75" customHeight="1" x14ac:dyDescent="0.2">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spans="1:26" ht="15.75" customHeight="1" x14ac:dyDescent="0.2">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spans="1:26" ht="15.75" customHeight="1" x14ac:dyDescent="0.2">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spans="1:26" ht="15.75" customHeight="1" x14ac:dyDescent="0.2">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spans="1:26" ht="15.75" customHeight="1" x14ac:dyDescent="0.2">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spans="1:26" ht="15.75" customHeight="1" x14ac:dyDescent="0.2">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spans="1:26" ht="15.75" customHeight="1" x14ac:dyDescent="0.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spans="1:26" ht="15.75" customHeight="1" x14ac:dyDescent="0.2">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spans="1:26" ht="15.75" customHeight="1" x14ac:dyDescent="0.2">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spans="1:26" ht="15.75" customHeight="1" x14ac:dyDescent="0.2">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spans="1:26" ht="15.75" customHeight="1" x14ac:dyDescent="0.2">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spans="1:26" ht="15.75" customHeight="1" x14ac:dyDescent="0.2">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spans="1:26" ht="15.75" customHeight="1" x14ac:dyDescent="0.2">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spans="1:26" ht="15.75" customHeight="1" x14ac:dyDescent="0.2">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spans="1:26" ht="15.75" customHeight="1" x14ac:dyDescent="0.2">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spans="1:26" ht="15.75" customHeight="1" x14ac:dyDescent="0.2">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spans="1:26" ht="15.75" customHeight="1" x14ac:dyDescent="0.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spans="1:26" ht="15.75" customHeight="1" x14ac:dyDescent="0.2">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spans="1:26" ht="15.75" customHeight="1" x14ac:dyDescent="0.2">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spans="1:26" ht="15.75" customHeight="1" x14ac:dyDescent="0.2">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spans="1:26" ht="15.75" customHeight="1" x14ac:dyDescent="0.2">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spans="1:26" ht="15.75" customHeight="1" x14ac:dyDescent="0.2">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spans="1:26" ht="15.75" customHeight="1" x14ac:dyDescent="0.2">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spans="1:26" ht="15.75" customHeight="1" x14ac:dyDescent="0.2">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spans="1:26" ht="15.75" customHeight="1" x14ac:dyDescent="0.2">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spans="1:26" ht="15.75" customHeight="1" x14ac:dyDescent="0.2">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spans="1:26" ht="15.75" customHeight="1" x14ac:dyDescent="0.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spans="1:26" ht="15.75" customHeight="1" x14ac:dyDescent="0.2">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spans="1:26" ht="15.75" customHeight="1" x14ac:dyDescent="0.2">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spans="1:26" ht="15.75" customHeight="1" x14ac:dyDescent="0.2">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spans="1:26" ht="15.75" customHeight="1" x14ac:dyDescent="0.2">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spans="1:26" ht="15.75" customHeight="1" x14ac:dyDescent="0.2">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spans="1:26" ht="15.75" customHeight="1" x14ac:dyDescent="0.2">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spans="1:26" ht="15.75" customHeight="1" x14ac:dyDescent="0.2">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spans="1:26" ht="15.75" customHeight="1" x14ac:dyDescent="0.2">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spans="1:26" ht="15.75" customHeight="1" x14ac:dyDescent="0.2">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spans="1:26" ht="15.75" customHeight="1" x14ac:dyDescent="0.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spans="1:26" ht="15.75" customHeight="1" x14ac:dyDescent="0.2">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spans="1:26" ht="15.75" customHeight="1" x14ac:dyDescent="0.2">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spans="1:26" ht="15.75" customHeight="1" x14ac:dyDescent="0.2">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spans="1:26" ht="15.75" customHeight="1" x14ac:dyDescent="0.2">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spans="1:26" ht="15.75" customHeight="1" x14ac:dyDescent="0.2">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spans="1:26" ht="15.75" customHeight="1" x14ac:dyDescent="0.2">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spans="1:26" ht="15.75" customHeight="1" x14ac:dyDescent="0.2">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spans="1:26" ht="15.75" customHeight="1" x14ac:dyDescent="0.2">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spans="1:26" ht="15.75" customHeight="1" x14ac:dyDescent="0.2">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spans="1:26" ht="15.75" customHeight="1" x14ac:dyDescent="0.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spans="1:26" ht="15.75" customHeight="1" x14ac:dyDescent="0.2">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spans="1:26" ht="15.75" customHeight="1" x14ac:dyDescent="0.2">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spans="1:26" ht="15.75" customHeight="1" x14ac:dyDescent="0.2">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spans="1:26" ht="15.75" customHeight="1" x14ac:dyDescent="0.2">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spans="1:26" ht="15.75" customHeight="1" x14ac:dyDescent="0.2">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spans="1:26" ht="15.75" customHeight="1" x14ac:dyDescent="0.2">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spans="1:26" ht="15.75" customHeight="1" x14ac:dyDescent="0.2">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spans="1:26" ht="15.75" customHeight="1" x14ac:dyDescent="0.2">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spans="1:26" ht="15.75" customHeight="1" x14ac:dyDescent="0.2">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spans="1:26" ht="15.75" customHeight="1" x14ac:dyDescent="0.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spans="1:26" ht="15.75" customHeight="1" x14ac:dyDescent="0.2">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spans="1:26" ht="15.75" customHeight="1" x14ac:dyDescent="0.2">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spans="1:26" ht="15.75" customHeight="1" x14ac:dyDescent="0.2">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spans="1:26" ht="15.75" customHeight="1" x14ac:dyDescent="0.2">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spans="1:26" ht="15.75" customHeight="1" x14ac:dyDescent="0.2">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spans="1:26" ht="15.75" customHeight="1" x14ac:dyDescent="0.2">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spans="1:26" ht="15.75" customHeight="1" x14ac:dyDescent="0.2">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spans="1:26" ht="15.75" customHeight="1" x14ac:dyDescent="0.2">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spans="1:26" ht="15.75" customHeight="1" x14ac:dyDescent="0.2">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spans="1:26" ht="15.75" customHeight="1" x14ac:dyDescent="0.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spans="1:26" ht="15.75" customHeight="1" x14ac:dyDescent="0.2">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spans="1:26" ht="15.75" customHeight="1" x14ac:dyDescent="0.2">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spans="1:26" ht="15.75" customHeight="1" x14ac:dyDescent="0.2">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spans="1:26" ht="15.75" customHeight="1" x14ac:dyDescent="0.2">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spans="1:26" ht="15.75" customHeight="1" x14ac:dyDescent="0.2">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spans="1:26" ht="15.75" customHeight="1" x14ac:dyDescent="0.2">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spans="1:26" ht="15.75" customHeight="1" x14ac:dyDescent="0.2">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spans="1:26" ht="15.75" customHeight="1" x14ac:dyDescent="0.2">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spans="1:26" ht="15.75" customHeight="1" x14ac:dyDescent="0.2">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spans="1:26" ht="15.75" customHeight="1" x14ac:dyDescent="0.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spans="1:26" ht="15.75" customHeight="1" x14ac:dyDescent="0.2">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spans="1:26" ht="15.75" customHeight="1" x14ac:dyDescent="0.2">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spans="1:26" ht="15.75" customHeight="1" x14ac:dyDescent="0.2">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spans="1:26" ht="15.75" customHeight="1" x14ac:dyDescent="0.2">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spans="1:26" ht="15.75" customHeight="1" x14ac:dyDescent="0.2">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spans="1:26" ht="15.75" customHeight="1" x14ac:dyDescent="0.2">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spans="1:26" ht="15.75" customHeight="1" x14ac:dyDescent="0.2">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spans="1:26" ht="15.75" customHeight="1" x14ac:dyDescent="0.2">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spans="1:26" ht="15.75" customHeight="1" x14ac:dyDescent="0.2">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spans="1:26" ht="15.75" customHeight="1" x14ac:dyDescent="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spans="1:26" ht="15.75" customHeight="1" x14ac:dyDescent="0.2">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spans="1:26" ht="15.75" customHeight="1" x14ac:dyDescent="0.2">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spans="1:26" ht="15.75" customHeight="1" x14ac:dyDescent="0.2">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spans="1:26" ht="15.75" customHeight="1" x14ac:dyDescent="0.2">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spans="1:26" ht="15.75" customHeight="1" x14ac:dyDescent="0.2">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spans="1:26" ht="15.75" customHeight="1" x14ac:dyDescent="0.2">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spans="1:26" ht="15.75" customHeight="1" x14ac:dyDescent="0.2">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spans="1:26" ht="15.75" customHeight="1" x14ac:dyDescent="0.2">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spans="1:26" ht="15.75" customHeight="1" x14ac:dyDescent="0.2">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spans="1:26" ht="15.75" customHeight="1" x14ac:dyDescent="0.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spans="1:26" ht="15.75" customHeight="1" x14ac:dyDescent="0.2">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spans="1:26" ht="15.75" customHeight="1" x14ac:dyDescent="0.2">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spans="1:26" ht="15.75" customHeight="1" x14ac:dyDescent="0.2">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spans="1:26" ht="15.75" customHeight="1" x14ac:dyDescent="0.2">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spans="1:26" ht="15.75" customHeight="1" x14ac:dyDescent="0.2">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spans="1:26" ht="15.75" customHeight="1" x14ac:dyDescent="0.2">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spans="1:26" ht="15.75" customHeight="1" x14ac:dyDescent="0.2">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spans="1:26" ht="15.75" customHeight="1" x14ac:dyDescent="0.2">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spans="1:26" ht="15.75" customHeight="1" x14ac:dyDescent="0.2">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spans="1:26" ht="15.75" customHeight="1" x14ac:dyDescent="0.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spans="1:26" ht="15.75" customHeight="1" x14ac:dyDescent="0.2">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spans="1:26" ht="15.75" customHeight="1" x14ac:dyDescent="0.2">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spans="1:26" ht="15.75" customHeight="1" x14ac:dyDescent="0.2">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spans="1:26" ht="15.75" customHeight="1" x14ac:dyDescent="0.2">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spans="1:26" ht="15.75" customHeight="1" x14ac:dyDescent="0.2">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spans="1:26" ht="15.75" customHeight="1" x14ac:dyDescent="0.2">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spans="1:26" ht="15.75" customHeight="1" x14ac:dyDescent="0.2">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spans="1:26" ht="15.75" customHeight="1" x14ac:dyDescent="0.2">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spans="1:26" ht="15.75" customHeight="1" x14ac:dyDescent="0.2">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spans="1:26" ht="15.75" customHeight="1" x14ac:dyDescent="0.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spans="1:26" ht="15.75" customHeight="1" x14ac:dyDescent="0.2">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spans="1:26" ht="15.75" customHeight="1" x14ac:dyDescent="0.2">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spans="1:26" ht="15.75" customHeight="1" x14ac:dyDescent="0.2">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spans="1:26" ht="15.75" customHeight="1" x14ac:dyDescent="0.2">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spans="1:26" ht="15.75" customHeight="1" x14ac:dyDescent="0.2">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spans="1:26" ht="15.75" customHeight="1" x14ac:dyDescent="0.2">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spans="1:26" ht="15.75" customHeight="1" x14ac:dyDescent="0.2">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spans="1:26" ht="15.75" customHeight="1" x14ac:dyDescent="0.2">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spans="1:26" ht="15.75" customHeight="1" x14ac:dyDescent="0.2">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spans="1:26" ht="15.75" customHeight="1" x14ac:dyDescent="0.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spans="1:26" ht="15.75" customHeight="1" x14ac:dyDescent="0.2">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spans="1:26" ht="15.75" customHeight="1" x14ac:dyDescent="0.2">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spans="1:26" ht="15.75" customHeight="1" x14ac:dyDescent="0.2">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spans="1:26" ht="15.75" customHeight="1" x14ac:dyDescent="0.2">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spans="1:26" ht="15.75" customHeight="1" x14ac:dyDescent="0.2">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spans="1:26" ht="15.75" customHeight="1" x14ac:dyDescent="0.2">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spans="1:26" ht="15.75" customHeight="1" x14ac:dyDescent="0.2">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spans="1:26" ht="15.75" customHeight="1" x14ac:dyDescent="0.2">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spans="1:26" ht="15.75" customHeight="1" x14ac:dyDescent="0.2">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spans="1:26" ht="15.75" customHeight="1" x14ac:dyDescent="0.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spans="1:26" ht="15.75" customHeight="1" x14ac:dyDescent="0.2">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spans="1:26" ht="15.75" customHeight="1" x14ac:dyDescent="0.2">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spans="1:26" ht="15.75" customHeight="1" x14ac:dyDescent="0.2">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spans="1:26" ht="15.75" customHeight="1" x14ac:dyDescent="0.2">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spans="1:26" ht="15.75" customHeight="1" x14ac:dyDescent="0.2">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spans="1:26" ht="15.75" customHeight="1" x14ac:dyDescent="0.2">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spans="1:26" ht="15.75" customHeight="1" x14ac:dyDescent="0.2">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spans="1:26" ht="15.75" customHeight="1" x14ac:dyDescent="0.2">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spans="1:26" ht="15.75" customHeight="1" x14ac:dyDescent="0.2">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spans="1:26" ht="15.75" customHeight="1" x14ac:dyDescent="0.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spans="1:26" ht="15.75" customHeight="1" x14ac:dyDescent="0.2">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spans="1:26" ht="15.75" customHeight="1" x14ac:dyDescent="0.2">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spans="1:26" ht="15.75" customHeight="1" x14ac:dyDescent="0.2">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spans="1:26" ht="15.75" customHeight="1" x14ac:dyDescent="0.2">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spans="1:26" ht="15.75" customHeight="1" x14ac:dyDescent="0.2">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spans="1:26" ht="15.75" customHeight="1" x14ac:dyDescent="0.2">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spans="1:26" ht="15.75" customHeight="1" x14ac:dyDescent="0.2">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spans="1:26" ht="15.75" customHeight="1" x14ac:dyDescent="0.2">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spans="1:26" ht="15.75" customHeight="1" x14ac:dyDescent="0.2">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spans="1:26" ht="15.75" customHeight="1" x14ac:dyDescent="0.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spans="1:26" ht="15.75" customHeight="1" x14ac:dyDescent="0.2">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spans="1:26" ht="15.75" customHeight="1" x14ac:dyDescent="0.2">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spans="1:26" ht="15.75" customHeight="1" x14ac:dyDescent="0.2">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spans="1:26" ht="15.75" customHeight="1" x14ac:dyDescent="0.2">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spans="1:26" ht="15.75" customHeight="1" x14ac:dyDescent="0.2">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spans="1:26" ht="15.75" customHeight="1" x14ac:dyDescent="0.2">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spans="1:26" ht="15.75" customHeight="1" x14ac:dyDescent="0.2">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spans="1:26" ht="15.75" customHeight="1" x14ac:dyDescent="0.2">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spans="1:26" ht="15.75" customHeight="1" x14ac:dyDescent="0.2">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spans="1:26" ht="15.75" customHeight="1" x14ac:dyDescent="0.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spans="1:26" ht="15.75" customHeight="1" x14ac:dyDescent="0.2">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spans="1:26" ht="15.75" customHeight="1" x14ac:dyDescent="0.2">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spans="1:26" ht="15.75" customHeight="1" x14ac:dyDescent="0.2">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spans="1:26" ht="15.75" customHeight="1" x14ac:dyDescent="0.2">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spans="1:26" ht="15.75" customHeight="1" x14ac:dyDescent="0.2">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spans="1:26" ht="15.75" customHeight="1" x14ac:dyDescent="0.2">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spans="1:26" ht="15.75" customHeight="1" x14ac:dyDescent="0.2">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spans="1:26" ht="15.75" customHeight="1" x14ac:dyDescent="0.2">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spans="1:26" ht="15.75" customHeight="1" x14ac:dyDescent="0.2">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spans="1:26" ht="15.75" customHeight="1" x14ac:dyDescent="0.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spans="1:26" ht="15.75" customHeight="1" x14ac:dyDescent="0.2">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spans="1:26" ht="15.75" customHeight="1" x14ac:dyDescent="0.2">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spans="1:26" ht="15.75" customHeight="1" x14ac:dyDescent="0.2">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spans="1:26" ht="15.75" customHeight="1" x14ac:dyDescent="0.2">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spans="1:26" ht="15.75" customHeight="1" x14ac:dyDescent="0.2">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spans="1:26" ht="15.75" customHeight="1" x14ac:dyDescent="0.2">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spans="1:26" ht="15.75" customHeight="1" x14ac:dyDescent="0.2">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spans="1:26" ht="15.75" customHeight="1" x14ac:dyDescent="0.2">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spans="1:26" ht="15.75" customHeight="1" x14ac:dyDescent="0.2">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spans="1:26" ht="15.75" customHeight="1" x14ac:dyDescent="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spans="1:26" ht="15.75" customHeight="1" x14ac:dyDescent="0.2">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spans="1:26" ht="15.75" customHeight="1" x14ac:dyDescent="0.2">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spans="1:26" ht="15.75" customHeight="1" x14ac:dyDescent="0.2">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spans="1:26" ht="15.75" customHeight="1" x14ac:dyDescent="0.2">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spans="1:26" ht="15.75" customHeight="1" x14ac:dyDescent="0.2">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spans="1:26" ht="15.75" customHeight="1" x14ac:dyDescent="0.2">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spans="1:26" ht="15.75" customHeight="1" x14ac:dyDescent="0.2">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spans="1:26" ht="15.75" customHeight="1" x14ac:dyDescent="0.2">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spans="1:26" ht="15.75" customHeight="1" x14ac:dyDescent="0.2">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spans="1:26" ht="15.75" customHeight="1" x14ac:dyDescent="0.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spans="1:26" ht="15.75" customHeight="1" x14ac:dyDescent="0.2">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spans="1:26" ht="15.75" customHeight="1" x14ac:dyDescent="0.2">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spans="1:26" ht="15.75" customHeight="1" x14ac:dyDescent="0.2">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spans="1:26" ht="15.75" customHeight="1" x14ac:dyDescent="0.2">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spans="1:26" ht="15.75" customHeight="1" x14ac:dyDescent="0.2">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spans="1:26" ht="15.75" customHeight="1" x14ac:dyDescent="0.2">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spans="1:26" ht="15.75" customHeight="1" x14ac:dyDescent="0.2">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spans="1:26" ht="15.75" customHeight="1" x14ac:dyDescent="0.2">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spans="1:26" ht="15.75" customHeight="1" x14ac:dyDescent="0.2">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spans="1:26" ht="15.75" customHeight="1" x14ac:dyDescent="0.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spans="1:26" ht="15.75" customHeight="1" x14ac:dyDescent="0.2">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spans="1:26" ht="15.75" customHeight="1" x14ac:dyDescent="0.2">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spans="1:26" ht="15.75" customHeight="1" x14ac:dyDescent="0.2">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spans="1:26" ht="15.75" customHeight="1" x14ac:dyDescent="0.2">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spans="1:26" ht="15.75" customHeight="1" x14ac:dyDescent="0.2">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spans="1:26" ht="15.75" customHeight="1" x14ac:dyDescent="0.2">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spans="1:26" ht="15.75" customHeight="1" x14ac:dyDescent="0.2">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spans="1:26" ht="15.75" customHeight="1" x14ac:dyDescent="0.2">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spans="1:26" ht="15.75" customHeight="1" x14ac:dyDescent="0.2">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spans="1:26" ht="15.75" customHeight="1" x14ac:dyDescent="0.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spans="1:26" ht="15.75" customHeight="1" x14ac:dyDescent="0.2">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spans="1:26" ht="15.75" customHeight="1" x14ac:dyDescent="0.2">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spans="1:26" ht="15.75" customHeight="1" x14ac:dyDescent="0.2">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spans="1:26" ht="15.75" customHeight="1" x14ac:dyDescent="0.2">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spans="1:26" ht="15.75" customHeight="1" x14ac:dyDescent="0.2">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spans="1:26" ht="15.75" customHeight="1" x14ac:dyDescent="0.2">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spans="1:26" ht="15.75" customHeight="1" x14ac:dyDescent="0.2">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spans="1:26" ht="15.75" customHeight="1" x14ac:dyDescent="0.2">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spans="1:26" ht="15.75" customHeight="1" x14ac:dyDescent="0.2">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spans="1:26" ht="15.75" customHeight="1" x14ac:dyDescent="0.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spans="1:26" ht="15.75" customHeight="1" x14ac:dyDescent="0.2">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spans="1:26" ht="15.75" customHeight="1" x14ac:dyDescent="0.2">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spans="1:26" ht="15.75" customHeight="1" x14ac:dyDescent="0.2">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spans="1:26" ht="15.75" customHeight="1" x14ac:dyDescent="0.2">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spans="1:26" ht="15.75" customHeight="1" x14ac:dyDescent="0.2">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spans="1:26" ht="15.75" customHeight="1" x14ac:dyDescent="0.2">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spans="1:26" ht="15.75" customHeight="1" x14ac:dyDescent="0.2">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spans="1:26" ht="15.75" customHeight="1" x14ac:dyDescent="0.2">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spans="1:26" ht="15.75" customHeight="1" x14ac:dyDescent="0.2">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spans="1:26" ht="15.75" customHeight="1" x14ac:dyDescent="0.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spans="1:26" ht="15.75" customHeight="1" x14ac:dyDescent="0.2">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spans="1:26" ht="15.75" customHeight="1" x14ac:dyDescent="0.2">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spans="1:26" ht="15.75" customHeight="1" x14ac:dyDescent="0.2">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spans="1:26" ht="15.75" customHeight="1" x14ac:dyDescent="0.2">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spans="1:26" ht="15.75" customHeight="1" x14ac:dyDescent="0.2">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spans="1:26" ht="15.75" customHeight="1" x14ac:dyDescent="0.2">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spans="1:26" ht="15.75" customHeight="1" x14ac:dyDescent="0.2">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spans="1:26" ht="15.75" customHeight="1" x14ac:dyDescent="0.2">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spans="1:26" ht="15.75" customHeight="1" x14ac:dyDescent="0.2">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spans="1:26" ht="15.75" customHeight="1" x14ac:dyDescent="0.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spans="1:26" ht="15.75" customHeight="1" x14ac:dyDescent="0.2">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spans="1:26" ht="15.75" customHeight="1" x14ac:dyDescent="0.2">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spans="1:26" ht="15.75" customHeight="1" x14ac:dyDescent="0.2">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spans="1:26" ht="15.75" customHeight="1" x14ac:dyDescent="0.2">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spans="1:26" ht="15.75" customHeight="1" x14ac:dyDescent="0.2">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spans="1:26" ht="15.75" customHeight="1" x14ac:dyDescent="0.2">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spans="1:26" ht="15.75" customHeight="1" x14ac:dyDescent="0.2">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spans="1:26" ht="15.75" customHeight="1" x14ac:dyDescent="0.2">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spans="1:26" ht="15.75" customHeight="1" x14ac:dyDescent="0.2">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spans="1:26" ht="15.75" customHeight="1" x14ac:dyDescent="0.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spans="1:26" ht="15.75" customHeight="1" x14ac:dyDescent="0.2">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spans="1:26" ht="15.75" customHeight="1" x14ac:dyDescent="0.2">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spans="1:26" ht="15.75" customHeight="1" x14ac:dyDescent="0.2">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spans="1:26" ht="15.75" customHeight="1" x14ac:dyDescent="0.2">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spans="1:26" ht="15.75" customHeight="1" x14ac:dyDescent="0.2">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spans="1:26" ht="15.75" customHeight="1" x14ac:dyDescent="0.2">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spans="1:26" ht="15.75" customHeight="1" x14ac:dyDescent="0.2">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spans="1:26" ht="15.75" customHeight="1" x14ac:dyDescent="0.2">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spans="1:26" ht="15.75" customHeight="1" x14ac:dyDescent="0.2">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spans="1:26" ht="15.75" customHeight="1" x14ac:dyDescent="0.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spans="1:26" ht="15.75" customHeight="1" x14ac:dyDescent="0.2">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spans="1:26" ht="15.75" customHeight="1" x14ac:dyDescent="0.2">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spans="1:26" ht="15.75" customHeight="1" x14ac:dyDescent="0.2">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spans="1:26" ht="15.75" customHeight="1" x14ac:dyDescent="0.2">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spans="1:26" ht="15.75" customHeight="1" x14ac:dyDescent="0.2">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spans="1:26" ht="15.75" customHeight="1" x14ac:dyDescent="0.2">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spans="1:26" ht="15.75" customHeight="1" x14ac:dyDescent="0.2">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spans="1:26" ht="15.75" customHeight="1" x14ac:dyDescent="0.2">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spans="1:26" ht="15.75" customHeight="1" x14ac:dyDescent="0.2">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spans="1:26" ht="15.75" customHeight="1" x14ac:dyDescent="0.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spans="1:26" ht="15.75" customHeight="1" x14ac:dyDescent="0.2">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spans="1:26" ht="15.75" customHeight="1" x14ac:dyDescent="0.2">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spans="1:26" ht="15.75" customHeight="1" x14ac:dyDescent="0.2">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spans="1:26" ht="15.75" customHeight="1" x14ac:dyDescent="0.2">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spans="1:26" ht="15.75" customHeight="1" x14ac:dyDescent="0.2">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spans="1:26" ht="15.75" customHeight="1" x14ac:dyDescent="0.2">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spans="1:26" ht="15.75" customHeight="1" x14ac:dyDescent="0.2">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spans="1:26" ht="15.75" customHeight="1" x14ac:dyDescent="0.2">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spans="1:26" ht="15.75" customHeight="1" x14ac:dyDescent="0.2">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spans="1:26" ht="15.75" customHeight="1" x14ac:dyDescent="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spans="1:26" ht="15.75" customHeight="1" x14ac:dyDescent="0.2">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spans="1:26" ht="15.75" customHeight="1" x14ac:dyDescent="0.2">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spans="1:26" ht="15.75" customHeight="1" x14ac:dyDescent="0.2">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spans="1:26" ht="15.75" customHeight="1" x14ac:dyDescent="0.2">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spans="1:26" ht="15.75" customHeight="1" x14ac:dyDescent="0.2">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spans="1:26" ht="15.75" customHeight="1" x14ac:dyDescent="0.2">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spans="1:26" ht="15.75" customHeight="1" x14ac:dyDescent="0.2">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spans="1:26" ht="15.75" customHeight="1" x14ac:dyDescent="0.2">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spans="1:26" ht="15.75" customHeight="1" x14ac:dyDescent="0.2">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spans="1:26" ht="15.75" customHeight="1" x14ac:dyDescent="0.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spans="1:26" ht="15.75" customHeight="1" x14ac:dyDescent="0.2">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spans="1:26" ht="15.75" customHeight="1" x14ac:dyDescent="0.2">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spans="1:26" ht="15.75" customHeight="1" x14ac:dyDescent="0.2">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spans="1:26" ht="15.75" customHeight="1" x14ac:dyDescent="0.2">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spans="1:26" ht="15.75" customHeight="1" x14ac:dyDescent="0.2">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spans="1:26" ht="15.75" customHeight="1" x14ac:dyDescent="0.2">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spans="1:26" ht="15.75" customHeight="1" x14ac:dyDescent="0.2">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spans="1:26" ht="15.75" customHeight="1" x14ac:dyDescent="0.2">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spans="1:26" ht="15.75" customHeight="1" x14ac:dyDescent="0.2">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spans="1:26" ht="15.75" customHeight="1" x14ac:dyDescent="0.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spans="1:26" ht="15.75" customHeight="1" x14ac:dyDescent="0.2">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spans="1:26" ht="15.75" customHeight="1" x14ac:dyDescent="0.2">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spans="1:26" ht="15.75" customHeight="1" x14ac:dyDescent="0.2">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spans="1:26" ht="15.75" customHeight="1" x14ac:dyDescent="0.2">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spans="1:26" ht="15.75" customHeight="1" x14ac:dyDescent="0.2">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spans="1:26" ht="15.75" customHeight="1" x14ac:dyDescent="0.2">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spans="1:26" ht="15.75" customHeight="1" x14ac:dyDescent="0.2">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spans="1:26" ht="15.75" customHeight="1" x14ac:dyDescent="0.2">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spans="1:26" ht="15.75" customHeight="1" x14ac:dyDescent="0.2">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spans="1:26" ht="15.75" customHeight="1" x14ac:dyDescent="0.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spans="1:26" ht="15.75" customHeight="1" x14ac:dyDescent="0.2">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spans="1:26" ht="15.75" customHeight="1" x14ac:dyDescent="0.2">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spans="1:26" ht="15.75" customHeight="1" x14ac:dyDescent="0.2">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spans="1:26" ht="15.75" customHeight="1" x14ac:dyDescent="0.2">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spans="1:26" ht="15.75" customHeight="1" x14ac:dyDescent="0.2">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spans="1:26" ht="15.75" customHeight="1" x14ac:dyDescent="0.2">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spans="1:26" ht="15.75" customHeight="1" x14ac:dyDescent="0.2">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spans="1:26" ht="15.75" customHeight="1" x14ac:dyDescent="0.2">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spans="1:26" ht="15.75" customHeight="1" x14ac:dyDescent="0.2">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spans="1:26" ht="15.75" customHeight="1" x14ac:dyDescent="0.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spans="1:26" ht="15.75" customHeight="1" x14ac:dyDescent="0.2">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spans="1:26" ht="15.75" customHeight="1" x14ac:dyDescent="0.2">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spans="1:26" ht="15.75" customHeight="1" x14ac:dyDescent="0.2">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spans="1:26" ht="15.75" customHeight="1" x14ac:dyDescent="0.2">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spans="1:26" ht="15.75" customHeight="1" x14ac:dyDescent="0.2">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spans="1:26" ht="15.75" customHeight="1" x14ac:dyDescent="0.2">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spans="1:26" ht="15.75" customHeight="1" x14ac:dyDescent="0.2">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spans="1:26" ht="15.75" customHeight="1" x14ac:dyDescent="0.2">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spans="1:26" ht="15.75" customHeight="1" x14ac:dyDescent="0.2">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spans="1:26" ht="15.75" customHeight="1" x14ac:dyDescent="0.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spans="1:26" ht="15.75" customHeight="1" x14ac:dyDescent="0.2">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spans="1:26" ht="15.75" customHeight="1" x14ac:dyDescent="0.2">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spans="1:26" ht="15.75" customHeight="1" x14ac:dyDescent="0.2">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spans="1:26" ht="15.75" customHeight="1" x14ac:dyDescent="0.2">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spans="1:26" ht="15.75" customHeight="1" x14ac:dyDescent="0.2">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spans="1:26" ht="15.75" customHeight="1" x14ac:dyDescent="0.2">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spans="1:26" ht="15.75" customHeight="1" x14ac:dyDescent="0.2">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spans="1:26" ht="15.75" customHeight="1" x14ac:dyDescent="0.2">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spans="1:26" ht="15.75" customHeight="1" x14ac:dyDescent="0.2">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spans="1:26" ht="15.75" customHeight="1" x14ac:dyDescent="0.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spans="1:26" ht="15.75" customHeight="1" x14ac:dyDescent="0.2">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spans="1:26" ht="15.75" customHeight="1" x14ac:dyDescent="0.2">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spans="1:26" ht="15.75" customHeight="1" x14ac:dyDescent="0.2">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spans="1:26" ht="15.75" customHeight="1" x14ac:dyDescent="0.2">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spans="1:26" ht="15.75" customHeight="1" x14ac:dyDescent="0.2">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spans="1:26" ht="15.75" customHeight="1" x14ac:dyDescent="0.2">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spans="1:26" ht="15.75" customHeight="1" x14ac:dyDescent="0.2">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spans="1:26" ht="15.75" customHeight="1" x14ac:dyDescent="0.2">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spans="1:26" ht="15.75" customHeight="1" x14ac:dyDescent="0.2">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spans="1:26" ht="15.75" customHeight="1" x14ac:dyDescent="0.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spans="1:26" ht="15.75" customHeight="1" x14ac:dyDescent="0.2">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spans="1:26" ht="15.75" customHeight="1" x14ac:dyDescent="0.2">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spans="1:26" ht="15.75" customHeight="1" x14ac:dyDescent="0.2">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spans="1:26" ht="15.75" customHeight="1" x14ac:dyDescent="0.2">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spans="1:26" ht="15.75" customHeight="1" x14ac:dyDescent="0.2">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spans="1:26" ht="15.75" customHeight="1" x14ac:dyDescent="0.2">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spans="1:26" ht="15.75" customHeight="1" x14ac:dyDescent="0.2">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spans="1:26" ht="15.75" customHeight="1" x14ac:dyDescent="0.2">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spans="1:26" ht="15.75" customHeight="1" x14ac:dyDescent="0.2">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spans="1:26" ht="15.75" customHeight="1" x14ac:dyDescent="0.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spans="1:26" ht="15.75" customHeight="1" x14ac:dyDescent="0.2">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spans="1:26" ht="15.75" customHeight="1" x14ac:dyDescent="0.2">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spans="1:26" ht="15.75" customHeight="1" x14ac:dyDescent="0.2">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spans="1:26" ht="15.75" customHeight="1" x14ac:dyDescent="0.2">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spans="1:26" ht="15.75" customHeight="1" x14ac:dyDescent="0.2">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spans="1:26" ht="15.75" customHeight="1" x14ac:dyDescent="0.2">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spans="1:26" ht="15.75" customHeight="1" x14ac:dyDescent="0.2">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spans="1:26" ht="15.75" customHeight="1" x14ac:dyDescent="0.2">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spans="1:26" ht="15.75" customHeight="1" x14ac:dyDescent="0.2">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spans="1:26" ht="15.75" customHeight="1" x14ac:dyDescent="0.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spans="1:26" ht="15.75" customHeight="1" x14ac:dyDescent="0.2">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spans="1:26" ht="15.75" customHeight="1" x14ac:dyDescent="0.2">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spans="1:26" ht="15.75" customHeight="1" x14ac:dyDescent="0.2">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spans="1:26" ht="15.75" customHeight="1" x14ac:dyDescent="0.2">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spans="1:26" ht="15.75" customHeight="1" x14ac:dyDescent="0.2">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spans="1:26" ht="15.75" customHeight="1" x14ac:dyDescent="0.2">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spans="1:26" ht="15.75" customHeight="1" x14ac:dyDescent="0.2">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spans="1:26" ht="15.75" customHeight="1" x14ac:dyDescent="0.2">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spans="1:26" ht="15.75" customHeight="1" x14ac:dyDescent="0.2">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spans="1:26" ht="15.75" customHeight="1" x14ac:dyDescent="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spans="1:26" ht="15.75" customHeight="1" x14ac:dyDescent="0.2">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spans="1:26" ht="15.75" customHeight="1" x14ac:dyDescent="0.2">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spans="1:26" ht="15.75" customHeight="1" x14ac:dyDescent="0.2">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spans="1:26" ht="15.75" customHeight="1" x14ac:dyDescent="0.2">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spans="1:26" ht="15.75" customHeight="1" x14ac:dyDescent="0.2">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spans="1:26" ht="15.75" customHeight="1" x14ac:dyDescent="0.2">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spans="1:26" ht="15.75" customHeight="1" x14ac:dyDescent="0.2">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spans="1:26" ht="15.75" customHeight="1" x14ac:dyDescent="0.2">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spans="1:26" ht="15.75" customHeight="1" x14ac:dyDescent="0.2">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spans="1:26" ht="15.75" customHeight="1" x14ac:dyDescent="0.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spans="1:26" ht="15.75" customHeight="1" x14ac:dyDescent="0.2">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spans="1:26" ht="15.75" customHeight="1" x14ac:dyDescent="0.2">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spans="1:26" ht="15.75" customHeight="1" x14ac:dyDescent="0.2">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spans="1:26" ht="15.75" customHeight="1" x14ac:dyDescent="0.2">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spans="1:26" ht="15.75" customHeight="1" x14ac:dyDescent="0.2">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spans="1:26" ht="15.75" customHeight="1" x14ac:dyDescent="0.2">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spans="1:26" ht="15.75" customHeight="1" x14ac:dyDescent="0.2">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spans="1:26" ht="15.75" customHeight="1" x14ac:dyDescent="0.2">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spans="1:26" ht="15.75" customHeight="1" x14ac:dyDescent="0.2">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spans="1:26" ht="15.75" customHeight="1" x14ac:dyDescent="0.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spans="1:26" ht="15.75" customHeight="1" x14ac:dyDescent="0.2">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spans="1:26" ht="15.75" customHeight="1" x14ac:dyDescent="0.2">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spans="1:26" ht="15.75" customHeight="1" x14ac:dyDescent="0.2">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spans="1:26" ht="15.75" customHeight="1" x14ac:dyDescent="0.2">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spans="1:26" ht="15.75" customHeight="1" x14ac:dyDescent="0.2">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spans="1:26" ht="15.75" customHeight="1" x14ac:dyDescent="0.2">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spans="1:26" ht="15.75" customHeight="1" x14ac:dyDescent="0.2">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spans="1:26" ht="15.75" customHeight="1" x14ac:dyDescent="0.2">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spans="1:26" ht="15.75" customHeight="1" x14ac:dyDescent="0.2">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spans="1:26" ht="15.75" customHeight="1" x14ac:dyDescent="0.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spans="1:26" ht="15.75" customHeight="1" x14ac:dyDescent="0.2">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spans="1:26" ht="15.75" customHeight="1" x14ac:dyDescent="0.2">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spans="1:26" ht="15.75" customHeight="1" x14ac:dyDescent="0.2">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spans="1:26" ht="15.75" customHeight="1" x14ac:dyDescent="0.2">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spans="1:26" ht="15.75" customHeight="1" x14ac:dyDescent="0.2">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spans="1:26" ht="15.75" customHeight="1" x14ac:dyDescent="0.2">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spans="1:26" ht="15.75" customHeight="1" x14ac:dyDescent="0.2">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spans="1:26" ht="15.75" customHeight="1" x14ac:dyDescent="0.2">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spans="1:26" ht="15.75" customHeight="1" x14ac:dyDescent="0.2">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spans="1:26" ht="15.75" customHeight="1" x14ac:dyDescent="0.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spans="1:26" ht="15.75" customHeight="1" x14ac:dyDescent="0.2">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spans="1:26" ht="15.75" customHeight="1" x14ac:dyDescent="0.2">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spans="1:26" ht="15.75" customHeight="1" x14ac:dyDescent="0.2">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spans="1:26" ht="15.75" customHeight="1" x14ac:dyDescent="0.2">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spans="1:26" ht="15.75" customHeight="1" x14ac:dyDescent="0.2">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spans="1:26" ht="15.75" customHeight="1" x14ac:dyDescent="0.2">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spans="1:26" ht="15.75" customHeight="1" x14ac:dyDescent="0.2">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spans="1:26" ht="15.75" customHeight="1" x14ac:dyDescent="0.2">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spans="1:26" ht="15.75" customHeight="1" x14ac:dyDescent="0.2">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spans="1:26" ht="15.75" customHeight="1" x14ac:dyDescent="0.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spans="1:26" ht="15.75" customHeight="1" x14ac:dyDescent="0.2">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spans="1:26" ht="15.75" customHeight="1" x14ac:dyDescent="0.2">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spans="1:26" ht="15.75" customHeight="1" x14ac:dyDescent="0.2">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spans="1:26" ht="15.75" customHeight="1" x14ac:dyDescent="0.2">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spans="1:26" ht="15.75" customHeight="1" x14ac:dyDescent="0.2">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spans="1:26" ht="15.75" customHeight="1" x14ac:dyDescent="0.2">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spans="1:26" ht="15.75" customHeight="1" x14ac:dyDescent="0.2">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spans="1:26" ht="15.75" customHeight="1" x14ac:dyDescent="0.2">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spans="1:26" ht="15.75" customHeight="1" x14ac:dyDescent="0.2">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spans="1:26" ht="15.75" customHeight="1" x14ac:dyDescent="0.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spans="1:26" ht="15.75" customHeight="1" x14ac:dyDescent="0.2">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spans="1:26" ht="15.75" customHeight="1" x14ac:dyDescent="0.2">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spans="1:26" ht="15.75" customHeight="1" x14ac:dyDescent="0.2">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spans="1:26" ht="15.75" customHeight="1" x14ac:dyDescent="0.2">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spans="1:26" ht="15.75" customHeight="1" x14ac:dyDescent="0.2">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spans="1:26" ht="15.75" customHeight="1" x14ac:dyDescent="0.2">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spans="1:26" ht="15.75" customHeight="1" x14ac:dyDescent="0.2">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spans="1:26" ht="15.75" customHeight="1" x14ac:dyDescent="0.2">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spans="1:26" ht="15.75" customHeight="1" x14ac:dyDescent="0.2">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spans="1:26" ht="15.75" customHeight="1" x14ac:dyDescent="0.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spans="1:26" ht="15.75" customHeight="1" x14ac:dyDescent="0.2">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spans="1:26" ht="15.75" customHeight="1" x14ac:dyDescent="0.2">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spans="1:26" ht="15.75" customHeight="1" x14ac:dyDescent="0.2">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spans="1:26" ht="15.75" customHeight="1" x14ac:dyDescent="0.2">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spans="1:26" ht="15.75" customHeight="1" x14ac:dyDescent="0.2">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spans="1:26" ht="15.75" customHeight="1" x14ac:dyDescent="0.2">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spans="1:26" ht="15.75" customHeight="1" x14ac:dyDescent="0.2">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spans="1:26" ht="15.75" customHeight="1" x14ac:dyDescent="0.2">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spans="1:26" ht="15.75" customHeight="1" x14ac:dyDescent="0.2">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spans="1:26" ht="15.75" customHeight="1" x14ac:dyDescent="0.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spans="1:26" ht="15.75" customHeight="1" x14ac:dyDescent="0.2">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spans="1:26" ht="15.75" customHeight="1" x14ac:dyDescent="0.2">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spans="1:26" ht="15.75" customHeight="1" x14ac:dyDescent="0.2">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spans="1:26" ht="15.75" customHeight="1" x14ac:dyDescent="0.2">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spans="1:26" ht="15.75" customHeight="1" x14ac:dyDescent="0.2">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spans="1:26" ht="15.75" customHeight="1" x14ac:dyDescent="0.2">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spans="1:26" ht="15.75" customHeight="1" x14ac:dyDescent="0.2">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spans="1:26" ht="15.75" customHeight="1" x14ac:dyDescent="0.2">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spans="1:26" ht="15.75" customHeight="1" x14ac:dyDescent="0.2">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spans="1:26" ht="15.75" customHeight="1" x14ac:dyDescent="0.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spans="1:26" ht="15.75" customHeight="1" x14ac:dyDescent="0.2">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spans="1:26" ht="15.75" customHeight="1" x14ac:dyDescent="0.2">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spans="1:26" ht="15.75" customHeight="1" x14ac:dyDescent="0.2">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spans="1:26" ht="15.75" customHeight="1" x14ac:dyDescent="0.2">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spans="1:26" ht="15.75" customHeight="1" x14ac:dyDescent="0.2">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spans="1:26" ht="15.75" customHeight="1" x14ac:dyDescent="0.2">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spans="1:26" ht="15.75" customHeight="1" x14ac:dyDescent="0.2">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spans="1:26" ht="15.75" customHeight="1" x14ac:dyDescent="0.2">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row r="1001" spans="1:26" ht="15.75" customHeight="1" x14ac:dyDescent="0.2">
      <c r="A1001" s="57"/>
      <c r="B1001" s="57"/>
      <c r="C1001" s="57"/>
      <c r="D1001" s="57"/>
      <c r="E1001" s="57"/>
      <c r="F1001" s="57"/>
      <c r="G1001" s="57"/>
      <c r="H1001" s="57"/>
      <c r="I1001" s="57"/>
      <c r="J1001" s="57"/>
      <c r="K1001" s="57"/>
      <c r="L1001" s="57"/>
      <c r="M1001" s="57"/>
      <c r="N1001" s="57"/>
      <c r="O1001" s="57"/>
      <c r="P1001" s="57"/>
      <c r="Q1001" s="57"/>
      <c r="R1001" s="57"/>
      <c r="S1001" s="57"/>
      <c r="T1001" s="57"/>
      <c r="U1001" s="57"/>
      <c r="V1001" s="57"/>
      <c r="W1001" s="57"/>
      <c r="X1001" s="57"/>
      <c r="Y1001" s="57"/>
      <c r="Z1001" s="57"/>
    </row>
    <row r="1002" spans="1:26" ht="15.75" customHeight="1" x14ac:dyDescent="0.2">
      <c r="A1002" s="57"/>
      <c r="B1002" s="57"/>
      <c r="C1002" s="57"/>
      <c r="D1002" s="57"/>
      <c r="E1002" s="57"/>
      <c r="F1002" s="57"/>
      <c r="G1002" s="57"/>
      <c r="H1002" s="57"/>
      <c r="I1002" s="57"/>
      <c r="J1002" s="57"/>
      <c r="K1002" s="57"/>
      <c r="L1002" s="57"/>
      <c r="M1002" s="57"/>
      <c r="N1002" s="57"/>
      <c r="O1002" s="57"/>
      <c r="P1002" s="57"/>
      <c r="Q1002" s="57"/>
      <c r="R1002" s="57"/>
      <c r="S1002" s="57"/>
      <c r="T1002" s="57"/>
      <c r="U1002" s="57"/>
      <c r="V1002" s="57"/>
      <c r="W1002" s="57"/>
      <c r="X1002" s="57"/>
      <c r="Y1002" s="57"/>
      <c r="Z1002" s="57"/>
    </row>
    <row r="1003" spans="1:26" ht="15.75" customHeight="1" x14ac:dyDescent="0.2">
      <c r="A1003" s="57"/>
      <c r="B1003" s="57"/>
      <c r="C1003" s="57"/>
      <c r="D1003" s="57"/>
      <c r="E1003" s="57"/>
      <c r="F1003" s="57"/>
      <c r="G1003" s="57"/>
      <c r="H1003" s="57"/>
      <c r="I1003" s="57"/>
      <c r="J1003" s="57"/>
      <c r="K1003" s="57"/>
      <c r="L1003" s="57"/>
      <c r="M1003" s="57"/>
      <c r="N1003" s="57"/>
      <c r="O1003" s="57"/>
      <c r="P1003" s="57"/>
      <c r="Q1003" s="57"/>
      <c r="R1003" s="57"/>
      <c r="S1003" s="57"/>
      <c r="T1003" s="57"/>
      <c r="U1003" s="57"/>
      <c r="V1003" s="57"/>
      <c r="W1003" s="57"/>
      <c r="X1003" s="57"/>
      <c r="Y1003" s="57"/>
      <c r="Z1003" s="57"/>
    </row>
    <row r="1004" spans="1:26" ht="15.75" customHeight="1" x14ac:dyDescent="0.2">
      <c r="A1004" s="57"/>
      <c r="B1004" s="57"/>
      <c r="C1004" s="57"/>
      <c r="D1004" s="57"/>
      <c r="E1004" s="57"/>
      <c r="F1004" s="57"/>
      <c r="G1004" s="57"/>
      <c r="H1004" s="57"/>
      <c r="I1004" s="57"/>
      <c r="J1004" s="57"/>
      <c r="K1004" s="57"/>
      <c r="L1004" s="57"/>
      <c r="M1004" s="57"/>
      <c r="N1004" s="57"/>
      <c r="O1004" s="57"/>
      <c r="P1004" s="57"/>
      <c r="Q1004" s="57"/>
      <c r="R1004" s="57"/>
      <c r="S1004" s="57"/>
      <c r="T1004" s="57"/>
      <c r="U1004" s="57"/>
      <c r="V1004" s="57"/>
      <c r="W1004" s="57"/>
      <c r="X1004" s="57"/>
      <c r="Y1004" s="57"/>
      <c r="Z1004" s="57"/>
    </row>
    <row r="1005" spans="1:26" ht="15.75" customHeight="1" x14ac:dyDescent="0.2">
      <c r="A1005" s="57"/>
      <c r="B1005" s="57"/>
      <c r="C1005" s="57"/>
      <c r="D1005" s="57"/>
      <c r="E1005" s="57"/>
      <c r="F1005" s="57"/>
      <c r="G1005" s="57"/>
      <c r="H1005" s="57"/>
      <c r="I1005" s="57"/>
      <c r="J1005" s="57"/>
      <c r="K1005" s="57"/>
      <c r="L1005" s="57"/>
      <c r="M1005" s="57"/>
      <c r="N1005" s="57"/>
      <c r="O1005" s="57"/>
      <c r="P1005" s="57"/>
      <c r="Q1005" s="57"/>
      <c r="R1005" s="57"/>
      <c r="S1005" s="57"/>
      <c r="T1005" s="57"/>
      <c r="U1005" s="57"/>
      <c r="V1005" s="57"/>
      <c r="W1005" s="57"/>
      <c r="X1005" s="57"/>
      <c r="Y1005" s="57"/>
      <c r="Z1005" s="57"/>
    </row>
  </sheetData>
  <mergeCells count="20">
    <mergeCell ref="V1:V2"/>
    <mergeCell ref="W1:W2"/>
    <mergeCell ref="X1:Y1"/>
    <mergeCell ref="H1:H2"/>
    <mergeCell ref="I1:I2"/>
    <mergeCell ref="J1:J2"/>
    <mergeCell ref="K1:K2"/>
    <mergeCell ref="L1:L2"/>
    <mergeCell ref="N1:N2"/>
    <mergeCell ref="Q1:Q2"/>
    <mergeCell ref="F1:F2"/>
    <mergeCell ref="G1:G2"/>
    <mergeCell ref="O1:P1"/>
    <mergeCell ref="R1:T1"/>
    <mergeCell ref="U1:U2"/>
    <mergeCell ref="A1:A2"/>
    <mergeCell ref="B1:B2"/>
    <mergeCell ref="C1:C2"/>
    <mergeCell ref="D1:D2"/>
    <mergeCell ref="E1:E2"/>
  </mergeCells>
  <pageMargins left="0.7" right="0.7" top="0.75" bottom="0.75" header="0.3" footer="0.3"/>
  <pageSetup orientation="portrait"/>
  <headerFooter>
    <oddHeader>&amp;L&amp;C&amp;R</oddHeader>
    <oddFooter>&amp;L&amp;C&amp;R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9C8E9-A92D-F56C-DD87-EEFCF38099A8}">
  <sheetPr>
    <outlinePr summaryBelow="0" summaryRight="0"/>
  </sheetPr>
  <dimension ref="A1:Z1005"/>
  <sheetViews>
    <sheetView showGridLines="0" workbookViewId="0">
      <pane xSplit="1" ySplit="2" topLeftCell="B3" activePane="bottomRight" state="frozen"/>
      <selection pane="topRight" activeCell="B1" sqref="B1"/>
      <selection pane="bottomLeft" activeCell="A3" sqref="A3"/>
      <selection pane="bottomRight" sqref="A1:A2"/>
    </sheetView>
  </sheetViews>
  <sheetFormatPr defaultColWidth="12.5703125" defaultRowHeight="15.75" customHeight="1" x14ac:dyDescent="0.2"/>
  <cols>
    <col min="1" max="1" width="11.140625" customWidth="1"/>
    <col min="2" max="2" width="8" customWidth="1"/>
    <col min="3" max="3" width="45.85546875" customWidth="1"/>
    <col min="4" max="4" width="47.7109375" customWidth="1"/>
    <col min="5" max="5" width="45.7109375" customWidth="1"/>
    <col min="6" max="7" width="99.5703125" customWidth="1"/>
    <col min="8" max="8" width="61" customWidth="1"/>
    <col min="9" max="9" width="34.7109375" customWidth="1"/>
    <col min="10" max="10" width="58.42578125" customWidth="1"/>
    <col min="11" max="11" width="59" customWidth="1"/>
    <col min="12" max="12" width="50.7109375" customWidth="1"/>
    <col min="14" max="14" width="14.140625" customWidth="1"/>
    <col min="15" max="15" width="16.28515625" customWidth="1"/>
    <col min="16" max="16" width="12" customWidth="1"/>
    <col min="17" max="17" width="71.28515625" customWidth="1"/>
    <col min="18" max="18" width="48.7109375" customWidth="1"/>
    <col min="19" max="19" width="12" customWidth="1"/>
    <col min="20" max="20" width="14.42578125" customWidth="1"/>
    <col min="21" max="21" width="54.28515625" customWidth="1"/>
    <col min="22" max="22" width="41.28515625" customWidth="1"/>
    <col min="23" max="23" width="22.42578125" customWidth="1"/>
    <col min="24" max="24" width="37.85546875" customWidth="1"/>
    <col min="25" max="25" width="11.140625" customWidth="1"/>
    <col min="26" max="26" width="424.140625" customWidth="1"/>
  </cols>
  <sheetData>
    <row r="1" spans="1:26" ht="15.75" customHeight="1" x14ac:dyDescent="0.2">
      <c r="A1" s="84" t="s">
        <v>83</v>
      </c>
      <c r="B1" s="84" t="s">
        <v>18</v>
      </c>
      <c r="C1" s="84" t="s">
        <v>84</v>
      </c>
      <c r="D1" s="84" t="s">
        <v>85</v>
      </c>
      <c r="E1" s="84" t="s">
        <v>86</v>
      </c>
      <c r="F1" s="84" t="s">
        <v>87</v>
      </c>
      <c r="G1" s="84" t="s">
        <v>33</v>
      </c>
      <c r="H1" s="84" t="s">
        <v>36</v>
      </c>
      <c r="I1" s="84" t="s">
        <v>88</v>
      </c>
      <c r="J1" s="84" t="s">
        <v>89</v>
      </c>
      <c r="K1" s="84" t="s">
        <v>90</v>
      </c>
      <c r="L1" s="84" t="s">
        <v>91</v>
      </c>
      <c r="M1" s="20" t="s">
        <v>47</v>
      </c>
      <c r="N1" s="84" t="s">
        <v>92</v>
      </c>
      <c r="O1" s="90" t="s">
        <v>50</v>
      </c>
      <c r="P1" s="88"/>
      <c r="Q1" s="84" t="s">
        <v>93</v>
      </c>
      <c r="R1" s="90" t="s">
        <v>94</v>
      </c>
      <c r="S1" s="89"/>
      <c r="T1" s="88"/>
      <c r="U1" s="84" t="s">
        <v>95</v>
      </c>
      <c r="V1" s="84" t="s">
        <v>96</v>
      </c>
      <c r="W1" s="84" t="s">
        <v>53</v>
      </c>
      <c r="X1" s="90" t="s">
        <v>97</v>
      </c>
      <c r="Y1" s="88"/>
      <c r="Z1" s="20" t="s">
        <v>98</v>
      </c>
    </row>
    <row r="2" spans="1:26" ht="15.75" customHeight="1" x14ac:dyDescent="0.2">
      <c r="A2" s="85"/>
      <c r="B2" s="85"/>
      <c r="C2" s="85"/>
      <c r="D2" s="85"/>
      <c r="E2" s="85"/>
      <c r="F2" s="85"/>
      <c r="G2" s="85"/>
      <c r="H2" s="85"/>
      <c r="I2" s="85"/>
      <c r="J2" s="85"/>
      <c r="K2" s="85"/>
      <c r="L2" s="85"/>
      <c r="M2" s="20" t="s">
        <v>99</v>
      </c>
      <c r="N2" s="85"/>
      <c r="O2" s="20" t="s">
        <v>100</v>
      </c>
      <c r="P2" s="20" t="s">
        <v>18</v>
      </c>
      <c r="Q2" s="85"/>
      <c r="R2" s="20" t="s">
        <v>101</v>
      </c>
      <c r="S2" s="20" t="s">
        <v>83</v>
      </c>
      <c r="T2" s="20" t="s">
        <v>102</v>
      </c>
      <c r="U2" s="85"/>
      <c r="V2" s="85"/>
      <c r="W2" s="85"/>
      <c r="X2" s="20" t="s">
        <v>101</v>
      </c>
      <c r="Y2" s="20" t="s">
        <v>83</v>
      </c>
      <c r="Z2" s="20"/>
    </row>
    <row r="3" spans="1:26" ht="110.25" customHeight="1" x14ac:dyDescent="0.2">
      <c r="A3" s="13" t="s">
        <v>619</v>
      </c>
      <c r="B3" s="55" t="s">
        <v>19</v>
      </c>
      <c r="C3" s="49" t="s">
        <v>569</v>
      </c>
      <c r="D3" s="49" t="s">
        <v>620</v>
      </c>
      <c r="E3" s="49" t="s">
        <v>571</v>
      </c>
      <c r="F3" s="49" t="s">
        <v>621</v>
      </c>
      <c r="G3" s="49" t="s">
        <v>621</v>
      </c>
      <c r="H3" s="49" t="s">
        <v>622</v>
      </c>
      <c r="I3" s="49" t="s">
        <v>679</v>
      </c>
      <c r="J3" s="49" t="s">
        <v>576</v>
      </c>
      <c r="K3" s="55" t="s">
        <v>624</v>
      </c>
      <c r="L3" s="55" t="s">
        <v>625</v>
      </c>
      <c r="M3" s="49" t="s">
        <v>576</v>
      </c>
      <c r="N3" s="49" t="s">
        <v>576</v>
      </c>
      <c r="O3" s="49" t="s">
        <v>576</v>
      </c>
      <c r="P3" s="49" t="s">
        <v>576</v>
      </c>
      <c r="Q3" s="49" t="s">
        <v>576</v>
      </c>
      <c r="R3" s="49" t="s">
        <v>576</v>
      </c>
      <c r="S3" s="49" t="s">
        <v>576</v>
      </c>
      <c r="T3" s="49" t="s">
        <v>576</v>
      </c>
      <c r="U3" s="49" t="s">
        <v>19</v>
      </c>
      <c r="V3" s="49" t="s">
        <v>106</v>
      </c>
      <c r="W3" s="49" t="s">
        <v>106</v>
      </c>
      <c r="X3" s="49" t="s">
        <v>680</v>
      </c>
      <c r="Y3" s="49" t="s">
        <v>19</v>
      </c>
      <c r="Z3" s="50" t="s">
        <v>627</v>
      </c>
    </row>
    <row r="4" spans="1:26" ht="127.5" customHeight="1" x14ac:dyDescent="0.2">
      <c r="A4" s="13" t="s">
        <v>628</v>
      </c>
      <c r="B4" s="55" t="s">
        <v>19</v>
      </c>
      <c r="C4" s="49" t="s">
        <v>569</v>
      </c>
      <c r="D4" s="49" t="s">
        <v>681</v>
      </c>
      <c r="E4" s="49" t="s">
        <v>571</v>
      </c>
      <c r="F4" s="49" t="s">
        <v>621</v>
      </c>
      <c r="G4" s="49" t="s">
        <v>621</v>
      </c>
      <c r="H4" s="49" t="s">
        <v>622</v>
      </c>
      <c r="I4" s="49" t="s">
        <v>682</v>
      </c>
      <c r="J4" s="49" t="s">
        <v>576</v>
      </c>
      <c r="K4" s="55" t="s">
        <v>624</v>
      </c>
      <c r="L4" s="55" t="s">
        <v>631</v>
      </c>
      <c r="M4" s="49" t="s">
        <v>576</v>
      </c>
      <c r="N4" s="49" t="s">
        <v>576</v>
      </c>
      <c r="O4" s="49" t="s">
        <v>576</v>
      </c>
      <c r="P4" s="49" t="s">
        <v>576</v>
      </c>
      <c r="Q4" s="49" t="s">
        <v>576</v>
      </c>
      <c r="R4" s="49" t="s">
        <v>576</v>
      </c>
      <c r="S4" s="49" t="s">
        <v>576</v>
      </c>
      <c r="T4" s="49" t="s">
        <v>576</v>
      </c>
      <c r="U4" s="49" t="s">
        <v>19</v>
      </c>
      <c r="V4" s="49" t="s">
        <v>106</v>
      </c>
      <c r="W4" s="49" t="s">
        <v>106</v>
      </c>
      <c r="X4" s="49" t="s">
        <v>683</v>
      </c>
      <c r="Y4" s="49" t="s">
        <v>19</v>
      </c>
      <c r="Z4" s="50" t="s">
        <v>684</v>
      </c>
    </row>
    <row r="5" spans="1:26" ht="15.75" customHeight="1" x14ac:dyDescent="0.2">
      <c r="A5" s="13" t="s">
        <v>634</v>
      </c>
      <c r="B5" s="49" t="s">
        <v>685</v>
      </c>
      <c r="C5" s="49" t="s">
        <v>569</v>
      </c>
      <c r="D5" s="49" t="s">
        <v>686</v>
      </c>
      <c r="E5" s="49" t="s">
        <v>571</v>
      </c>
      <c r="F5" s="49" t="s">
        <v>621</v>
      </c>
      <c r="G5" s="49" t="s">
        <v>621</v>
      </c>
      <c r="H5" s="49" t="s">
        <v>622</v>
      </c>
      <c r="I5" s="49" t="s">
        <v>687</v>
      </c>
      <c r="J5" s="49" t="s">
        <v>576</v>
      </c>
      <c r="K5" s="55" t="s">
        <v>624</v>
      </c>
      <c r="L5" s="55" t="s">
        <v>625</v>
      </c>
      <c r="M5" s="49" t="s">
        <v>576</v>
      </c>
      <c r="N5" s="49" t="s">
        <v>576</v>
      </c>
      <c r="O5" s="49" t="s">
        <v>576</v>
      </c>
      <c r="P5" s="49" t="s">
        <v>576</v>
      </c>
      <c r="Q5" s="49" t="s">
        <v>576</v>
      </c>
      <c r="R5" s="49" t="s">
        <v>576</v>
      </c>
      <c r="S5" s="49" t="s">
        <v>576</v>
      </c>
      <c r="T5" s="49" t="s">
        <v>576</v>
      </c>
      <c r="U5" s="49" t="s">
        <v>19</v>
      </c>
      <c r="V5" s="49" t="s">
        <v>106</v>
      </c>
      <c r="W5" s="49" t="s">
        <v>106</v>
      </c>
      <c r="X5" s="49" t="s">
        <v>688</v>
      </c>
      <c r="Y5" s="49" t="s">
        <v>19</v>
      </c>
      <c r="Z5" s="50" t="s">
        <v>639</v>
      </c>
    </row>
    <row r="6" spans="1:26" ht="15.75" customHeight="1" x14ac:dyDescent="0.2">
      <c r="A6" s="13" t="s">
        <v>640</v>
      </c>
      <c r="B6" s="49" t="s">
        <v>689</v>
      </c>
      <c r="C6" s="49" t="s">
        <v>569</v>
      </c>
      <c r="D6" s="49" t="s">
        <v>620</v>
      </c>
      <c r="E6" s="49" t="s">
        <v>571</v>
      </c>
      <c r="F6" s="49" t="s">
        <v>642</v>
      </c>
      <c r="G6" s="49" t="s">
        <v>642</v>
      </c>
      <c r="H6" s="49" t="s">
        <v>643</v>
      </c>
      <c r="I6" s="49" t="s">
        <v>690</v>
      </c>
      <c r="J6" s="49" t="s">
        <v>576</v>
      </c>
      <c r="K6" s="55" t="s">
        <v>624</v>
      </c>
      <c r="L6" s="55" t="s">
        <v>625</v>
      </c>
      <c r="M6" s="49" t="s">
        <v>576</v>
      </c>
      <c r="N6" s="49" t="s">
        <v>576</v>
      </c>
      <c r="O6" s="49" t="s">
        <v>576</v>
      </c>
      <c r="P6" s="49" t="s">
        <v>576</v>
      </c>
      <c r="Q6" s="49" t="s">
        <v>576</v>
      </c>
      <c r="R6" s="49" t="s">
        <v>576</v>
      </c>
      <c r="S6" s="49" t="s">
        <v>576</v>
      </c>
      <c r="T6" s="49" t="s">
        <v>576</v>
      </c>
      <c r="U6" s="49" t="s">
        <v>19</v>
      </c>
      <c r="V6" s="49" t="s">
        <v>106</v>
      </c>
      <c r="W6" s="49" t="s">
        <v>106</v>
      </c>
      <c r="X6" s="49" t="s">
        <v>691</v>
      </c>
      <c r="Y6" s="49" t="s">
        <v>19</v>
      </c>
      <c r="Z6" s="50" t="s">
        <v>692</v>
      </c>
    </row>
    <row r="7" spans="1:26" ht="15.75" customHeight="1" x14ac:dyDescent="0.2">
      <c r="A7" s="13" t="s">
        <v>581</v>
      </c>
      <c r="B7" s="49" t="s">
        <v>19</v>
      </c>
      <c r="C7" s="49" t="s">
        <v>569</v>
      </c>
      <c r="D7" s="49" t="s">
        <v>620</v>
      </c>
      <c r="E7" s="49" t="s">
        <v>571</v>
      </c>
      <c r="F7" s="49" t="s">
        <v>621</v>
      </c>
      <c r="G7" s="49" t="s">
        <v>621</v>
      </c>
      <c r="H7" s="49" t="s">
        <v>622</v>
      </c>
      <c r="I7" s="49" t="s">
        <v>693</v>
      </c>
      <c r="J7" s="49" t="s">
        <v>576</v>
      </c>
      <c r="K7" s="55" t="s">
        <v>624</v>
      </c>
      <c r="L7" s="55" t="s">
        <v>625</v>
      </c>
      <c r="M7" s="49" t="s">
        <v>576</v>
      </c>
      <c r="N7" s="49" t="s">
        <v>576</v>
      </c>
      <c r="O7" s="49" t="s">
        <v>576</v>
      </c>
      <c r="P7" s="49" t="s">
        <v>576</v>
      </c>
      <c r="Q7" s="49" t="s">
        <v>576</v>
      </c>
      <c r="R7" s="49" t="s">
        <v>576</v>
      </c>
      <c r="S7" s="49" t="s">
        <v>576</v>
      </c>
      <c r="T7" s="49" t="s">
        <v>576</v>
      </c>
      <c r="U7" s="49" t="s">
        <v>19</v>
      </c>
      <c r="V7" s="49" t="s">
        <v>106</v>
      </c>
      <c r="W7" s="49" t="s">
        <v>106</v>
      </c>
      <c r="X7" s="49" t="s">
        <v>694</v>
      </c>
      <c r="Y7" s="49" t="s">
        <v>19</v>
      </c>
      <c r="Z7" s="50" t="s">
        <v>695</v>
      </c>
    </row>
    <row r="8" spans="1:26" ht="15.75" customHeight="1" x14ac:dyDescent="0.2">
      <c r="A8" s="13" t="s">
        <v>586</v>
      </c>
      <c r="B8" s="49" t="s">
        <v>696</v>
      </c>
      <c r="C8" s="49" t="s">
        <v>654</v>
      </c>
      <c r="D8" s="49" t="s">
        <v>620</v>
      </c>
      <c r="E8" s="49" t="s">
        <v>571</v>
      </c>
      <c r="F8" s="49" t="s">
        <v>621</v>
      </c>
      <c r="G8" s="49" t="s">
        <v>621</v>
      </c>
      <c r="H8" s="49" t="s">
        <v>622</v>
      </c>
      <c r="I8" s="49" t="s">
        <v>697</v>
      </c>
      <c r="J8" s="49" t="s">
        <v>576</v>
      </c>
      <c r="K8" s="55" t="s">
        <v>624</v>
      </c>
      <c r="L8" s="55" t="s">
        <v>625</v>
      </c>
      <c r="M8" s="49" t="s">
        <v>576</v>
      </c>
      <c r="N8" s="49" t="s">
        <v>576</v>
      </c>
      <c r="O8" s="49" t="s">
        <v>576</v>
      </c>
      <c r="P8" s="49" t="s">
        <v>576</v>
      </c>
      <c r="Q8" s="49" t="s">
        <v>576</v>
      </c>
      <c r="R8" s="49" t="s">
        <v>576</v>
      </c>
      <c r="S8" s="49" t="s">
        <v>576</v>
      </c>
      <c r="T8" s="49" t="s">
        <v>576</v>
      </c>
      <c r="U8" s="49" t="s">
        <v>19</v>
      </c>
      <c r="V8" s="49" t="s">
        <v>106</v>
      </c>
      <c r="W8" s="49" t="s">
        <v>106</v>
      </c>
      <c r="X8" s="49" t="s">
        <v>698</v>
      </c>
      <c r="Y8" s="49" t="s">
        <v>19</v>
      </c>
      <c r="Z8" s="50" t="s">
        <v>699</v>
      </c>
    </row>
    <row r="9" spans="1:26" ht="75.75" customHeight="1" x14ac:dyDescent="0.2">
      <c r="A9" s="13" t="s">
        <v>658</v>
      </c>
      <c r="B9" s="49" t="s">
        <v>19</v>
      </c>
      <c r="C9" s="49" t="s">
        <v>569</v>
      </c>
      <c r="D9" s="49" t="s">
        <v>700</v>
      </c>
      <c r="E9" s="49" t="s">
        <v>571</v>
      </c>
      <c r="F9" s="49" t="s">
        <v>621</v>
      </c>
      <c r="G9" s="49" t="s">
        <v>621</v>
      </c>
      <c r="H9" s="49" t="s">
        <v>622</v>
      </c>
      <c r="I9" s="49" t="s">
        <v>701</v>
      </c>
      <c r="J9" s="49" t="s">
        <v>576</v>
      </c>
      <c r="K9" s="55" t="s">
        <v>624</v>
      </c>
      <c r="L9" s="49" t="s">
        <v>661</v>
      </c>
      <c r="M9" s="49" t="s">
        <v>576</v>
      </c>
      <c r="N9" s="49" t="s">
        <v>576</v>
      </c>
      <c r="O9" s="49" t="s">
        <v>576</v>
      </c>
      <c r="P9" s="49" t="s">
        <v>576</v>
      </c>
      <c r="Q9" s="49" t="s">
        <v>576</v>
      </c>
      <c r="R9" s="49" t="s">
        <v>576</v>
      </c>
      <c r="S9" s="49" t="s">
        <v>576</v>
      </c>
      <c r="T9" s="49" t="s">
        <v>576</v>
      </c>
      <c r="U9" s="49" t="s">
        <v>19</v>
      </c>
      <c r="V9" s="49" t="s">
        <v>106</v>
      </c>
      <c r="W9" s="49" t="s">
        <v>106</v>
      </c>
      <c r="X9" s="49" t="s">
        <v>702</v>
      </c>
      <c r="Y9" s="49" t="s">
        <v>19</v>
      </c>
      <c r="Z9" s="50" t="s">
        <v>663</v>
      </c>
    </row>
    <row r="10" spans="1:26" ht="112.5" customHeight="1" x14ac:dyDescent="0.2">
      <c r="A10" s="13" t="s">
        <v>664</v>
      </c>
      <c r="B10" s="49" t="s">
        <v>19</v>
      </c>
      <c r="C10" s="49" t="s">
        <v>569</v>
      </c>
      <c r="D10" s="49" t="s">
        <v>703</v>
      </c>
      <c r="E10" s="49" t="s">
        <v>571</v>
      </c>
      <c r="F10" s="49" t="s">
        <v>621</v>
      </c>
      <c r="G10" s="49" t="s">
        <v>621</v>
      </c>
      <c r="H10" s="49" t="s">
        <v>622</v>
      </c>
      <c r="I10" s="49" t="s">
        <v>704</v>
      </c>
      <c r="J10" s="49" t="s">
        <v>576</v>
      </c>
      <c r="K10" s="55" t="s">
        <v>667</v>
      </c>
      <c r="L10" s="55" t="s">
        <v>631</v>
      </c>
      <c r="M10" s="49" t="s">
        <v>576</v>
      </c>
      <c r="N10" s="49" t="s">
        <v>576</v>
      </c>
      <c r="O10" s="49" t="s">
        <v>576</v>
      </c>
      <c r="P10" s="49" t="s">
        <v>576</v>
      </c>
      <c r="Q10" s="49" t="s">
        <v>576</v>
      </c>
      <c r="R10" s="49" t="s">
        <v>576</v>
      </c>
      <c r="S10" s="49" t="s">
        <v>576</v>
      </c>
      <c r="T10" s="49" t="s">
        <v>576</v>
      </c>
      <c r="U10" s="49" t="s">
        <v>19</v>
      </c>
      <c r="V10" s="49" t="s">
        <v>106</v>
      </c>
      <c r="W10" s="49" t="s">
        <v>106</v>
      </c>
      <c r="X10" s="49" t="s">
        <v>705</v>
      </c>
      <c r="Y10" s="49" t="s">
        <v>19</v>
      </c>
      <c r="Z10" s="50" t="s">
        <v>706</v>
      </c>
    </row>
    <row r="11" spans="1:26" ht="15.75" customHeight="1" x14ac:dyDescent="0.2">
      <c r="A11" s="13" t="s">
        <v>592</v>
      </c>
      <c r="B11" s="49" t="s">
        <v>707</v>
      </c>
      <c r="C11" s="49" t="s">
        <v>671</v>
      </c>
      <c r="D11" s="49" t="s">
        <v>620</v>
      </c>
      <c r="E11" s="49" t="s">
        <v>571</v>
      </c>
      <c r="F11" s="49" t="s">
        <v>621</v>
      </c>
      <c r="G11" s="49" t="s">
        <v>621</v>
      </c>
      <c r="H11" s="49" t="s">
        <v>622</v>
      </c>
      <c r="I11" s="49" t="s">
        <v>708</v>
      </c>
      <c r="J11" s="49" t="s">
        <v>576</v>
      </c>
      <c r="K11" s="55" t="s">
        <v>624</v>
      </c>
      <c r="L11" s="55" t="s">
        <v>625</v>
      </c>
      <c r="M11" s="49" t="s">
        <v>576</v>
      </c>
      <c r="N11" s="49" t="s">
        <v>576</v>
      </c>
      <c r="O11" s="49" t="s">
        <v>576</v>
      </c>
      <c r="P11" s="49" t="s">
        <v>576</v>
      </c>
      <c r="Q11" s="49" t="s">
        <v>576</v>
      </c>
      <c r="R11" s="49" t="s">
        <v>576</v>
      </c>
      <c r="S11" s="49" t="s">
        <v>576</v>
      </c>
      <c r="T11" s="49" t="s">
        <v>576</v>
      </c>
      <c r="U11" s="49" t="s">
        <v>19</v>
      </c>
      <c r="V11" s="49" t="s">
        <v>106</v>
      </c>
      <c r="W11" s="49" t="s">
        <v>106</v>
      </c>
      <c r="X11" s="49" t="s">
        <v>709</v>
      </c>
      <c r="Y11" s="49" t="s">
        <v>19</v>
      </c>
      <c r="Z11" s="50" t="s">
        <v>710</v>
      </c>
    </row>
    <row r="12" spans="1:26" ht="15.75" customHeight="1" x14ac:dyDescent="0.2">
      <c r="A12" s="13" t="s">
        <v>598</v>
      </c>
      <c r="B12" s="49" t="s">
        <v>19</v>
      </c>
      <c r="C12" s="49" t="s">
        <v>569</v>
      </c>
      <c r="D12" s="49" t="s">
        <v>711</v>
      </c>
      <c r="E12" s="49" t="s">
        <v>571</v>
      </c>
      <c r="F12" s="49" t="s">
        <v>621</v>
      </c>
      <c r="G12" s="49" t="s">
        <v>621</v>
      </c>
      <c r="H12" s="49" t="s">
        <v>622</v>
      </c>
      <c r="I12" s="49" t="s">
        <v>712</v>
      </c>
      <c r="J12" s="49" t="s">
        <v>576</v>
      </c>
      <c r="K12" s="55" t="s">
        <v>624</v>
      </c>
      <c r="L12" s="55" t="s">
        <v>625</v>
      </c>
      <c r="M12" s="49" t="s">
        <v>576</v>
      </c>
      <c r="N12" s="49" t="s">
        <v>576</v>
      </c>
      <c r="O12" s="49" t="s">
        <v>576</v>
      </c>
      <c r="P12" s="49" t="s">
        <v>576</v>
      </c>
      <c r="Q12" s="49" t="s">
        <v>576</v>
      </c>
      <c r="R12" s="49" t="s">
        <v>576</v>
      </c>
      <c r="S12" s="49" t="s">
        <v>576</v>
      </c>
      <c r="T12" s="49" t="s">
        <v>576</v>
      </c>
      <c r="U12" s="49" t="s">
        <v>19</v>
      </c>
      <c r="V12" s="49" t="s">
        <v>106</v>
      </c>
      <c r="W12" s="49" t="s">
        <v>106</v>
      </c>
      <c r="X12" s="49" t="s">
        <v>713</v>
      </c>
      <c r="Y12" s="49" t="s">
        <v>19</v>
      </c>
      <c r="Z12" s="50" t="s">
        <v>714</v>
      </c>
    </row>
    <row r="13" spans="1:26" ht="15.75" customHeight="1" x14ac:dyDescent="0.2">
      <c r="A13" s="56"/>
      <c r="B13" s="56"/>
      <c r="C13" s="56"/>
      <c r="D13" s="56"/>
      <c r="E13" s="56"/>
      <c r="F13" s="56"/>
      <c r="G13" s="56"/>
      <c r="H13" s="56"/>
      <c r="I13" s="56"/>
      <c r="J13" s="56"/>
      <c r="K13" s="56"/>
      <c r="L13" s="56"/>
      <c r="M13" s="56"/>
      <c r="N13" s="56"/>
      <c r="O13" s="56"/>
      <c r="P13" s="56"/>
      <c r="Q13" s="56"/>
      <c r="R13" s="56"/>
      <c r="S13" s="56"/>
      <c r="T13" s="56"/>
      <c r="U13" s="56"/>
      <c r="V13" s="56"/>
      <c r="W13" s="56"/>
      <c r="X13" s="56"/>
      <c r="Y13" s="56"/>
      <c r="Z13" s="56"/>
    </row>
    <row r="14" spans="1:26" ht="15.75" customHeight="1" x14ac:dyDescent="0.2">
      <c r="A14" s="56"/>
      <c r="B14" s="56"/>
      <c r="C14" s="56"/>
      <c r="D14" s="56"/>
      <c r="E14" s="56"/>
      <c r="F14" s="56"/>
      <c r="G14" s="56"/>
      <c r="H14" s="56"/>
      <c r="I14" s="56"/>
      <c r="J14" s="56"/>
      <c r="K14" s="56"/>
      <c r="L14" s="56"/>
      <c r="M14" s="56"/>
      <c r="N14" s="56"/>
      <c r="O14" s="56"/>
      <c r="P14" s="56"/>
      <c r="Q14" s="56"/>
      <c r="R14" s="56"/>
      <c r="S14" s="56"/>
      <c r="T14" s="56"/>
      <c r="U14" s="56"/>
      <c r="V14" s="56"/>
      <c r="W14" s="56"/>
      <c r="X14" s="56"/>
      <c r="Y14" s="56"/>
      <c r="Z14" s="56"/>
    </row>
    <row r="15" spans="1:26" ht="15.75" customHeight="1" x14ac:dyDescent="0.2">
      <c r="A15" s="56"/>
      <c r="B15" s="56"/>
      <c r="C15" s="56"/>
      <c r="D15" s="56"/>
      <c r="E15" s="56"/>
      <c r="F15" s="56"/>
      <c r="G15" s="56"/>
      <c r="H15" s="56"/>
      <c r="I15" s="56"/>
      <c r="J15" s="56"/>
      <c r="K15" s="56"/>
      <c r="L15" s="56"/>
      <c r="M15" s="56"/>
      <c r="N15" s="56"/>
      <c r="O15" s="56"/>
      <c r="P15" s="56"/>
      <c r="Q15" s="56"/>
      <c r="R15" s="56"/>
      <c r="S15" s="56"/>
      <c r="T15" s="56"/>
      <c r="U15" s="56"/>
      <c r="V15" s="56"/>
      <c r="W15" s="56"/>
      <c r="X15" s="56"/>
      <c r="Y15" s="56"/>
      <c r="Z15" s="56"/>
    </row>
    <row r="16" spans="1:26" ht="15.75" customHeight="1" x14ac:dyDescent="0.2">
      <c r="A16" s="56"/>
      <c r="B16" s="56"/>
      <c r="C16" s="56"/>
      <c r="D16" s="56"/>
      <c r="E16" s="56"/>
      <c r="F16" s="56"/>
      <c r="G16" s="56"/>
      <c r="H16" s="56"/>
      <c r="I16" s="56"/>
      <c r="J16" s="56"/>
      <c r="K16" s="56"/>
      <c r="L16" s="56"/>
      <c r="M16" s="56"/>
      <c r="N16" s="56"/>
      <c r="O16" s="56"/>
      <c r="P16" s="56"/>
      <c r="Q16" s="56"/>
      <c r="R16" s="56"/>
      <c r="S16" s="56"/>
      <c r="T16" s="56"/>
      <c r="U16" s="56"/>
      <c r="V16" s="56"/>
      <c r="W16" s="56"/>
      <c r="X16" s="56"/>
      <c r="Y16" s="56"/>
      <c r="Z16" s="56"/>
    </row>
    <row r="17" spans="1:26" ht="15.75" customHeight="1" x14ac:dyDescent="0.2">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spans="1:26" ht="15.75" customHeight="1" x14ac:dyDescent="0.2">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spans="1:26" ht="15.75" customHeight="1" x14ac:dyDescent="0.2">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spans="1:26" ht="15.75" customHeight="1" x14ac:dyDescent="0.2">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spans="1:26" ht="15.75" customHeight="1" x14ac:dyDescent="0.2">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spans="1:26" ht="15.75" customHeight="1" x14ac:dyDescent="0.2">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spans="1:26" ht="15.75" customHeight="1" x14ac:dyDescent="0.2">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spans="1:26" ht="15.75" customHeight="1" x14ac:dyDescent="0.2">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spans="1:26" ht="15.75" customHeight="1" x14ac:dyDescent="0.2">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spans="1:26" ht="15.75" customHeight="1" x14ac:dyDescent="0.2">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spans="1:26" ht="15.75" customHeight="1" x14ac:dyDescent="0.2">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spans="1:26" ht="15.75" customHeight="1" x14ac:dyDescent="0.2">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spans="1:26" ht="15.75" customHeight="1" x14ac:dyDescent="0.2">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spans="1:26" ht="15.75" customHeight="1" x14ac:dyDescent="0.2">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spans="1:26" ht="15.75" customHeight="1" x14ac:dyDescent="0.2">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row>
    <row r="32" spans="1:26" ht="15.75" customHeight="1" x14ac:dyDescent="0.2">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row>
    <row r="33" spans="1:26" ht="15.75" customHeight="1" x14ac:dyDescent="0.2">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row>
    <row r="34" spans="1:26" ht="15.75" customHeight="1" x14ac:dyDescent="0.2">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row>
    <row r="35" spans="1:26" ht="15.75" customHeight="1" x14ac:dyDescent="0.2">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row>
    <row r="36" spans="1:26" ht="15.75" customHeight="1" x14ac:dyDescent="0.2">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row>
    <row r="37" spans="1:26" ht="15.75" customHeight="1" x14ac:dyDescent="0.2">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spans="1:26" ht="15.75" customHeight="1" x14ac:dyDescent="0.2">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spans="1:26" ht="15.75" customHeight="1" x14ac:dyDescent="0.2">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spans="1:26" ht="15.75" customHeight="1" x14ac:dyDescent="0.2">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spans="1:26" ht="15.75" customHeight="1" x14ac:dyDescent="0.2">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row>
    <row r="42" spans="1:26" ht="15.75" customHeight="1" x14ac:dyDescent="0.2">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row>
    <row r="43" spans="1:26" ht="15.75" customHeight="1" x14ac:dyDescent="0.2">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row>
    <row r="44" spans="1:26" ht="15.75" customHeight="1" x14ac:dyDescent="0.2">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row>
    <row r="45" spans="1:26" ht="15.75" customHeight="1" x14ac:dyDescent="0.2">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row>
    <row r="46" spans="1:26" ht="15.75" customHeight="1" x14ac:dyDescent="0.2">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row>
    <row r="47" spans="1:26" ht="15.75" customHeight="1" x14ac:dyDescent="0.2">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spans="1:26" ht="15.75" customHeight="1" x14ac:dyDescent="0.2">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spans="1:26" ht="15.75" customHeight="1" x14ac:dyDescent="0.2">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spans="1:26" ht="15.75" customHeight="1" x14ac:dyDescent="0.2">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spans="1:26" ht="15.75" customHeight="1" x14ac:dyDescent="0.2">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spans="1:26" ht="15.75" customHeight="1" x14ac:dyDescent="0.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spans="1:26" ht="15.75" customHeight="1" x14ac:dyDescent="0.2">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spans="1:26" ht="15.75" customHeight="1" x14ac:dyDescent="0.2">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spans="1:26" ht="15.75" customHeight="1" x14ac:dyDescent="0.2">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spans="1:26" ht="15.75" customHeight="1" x14ac:dyDescent="0.2">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spans="1:26" ht="15.75" customHeight="1" x14ac:dyDescent="0.2">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spans="1:26" ht="15.75" customHeight="1" x14ac:dyDescent="0.2">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spans="1:26" ht="15.75" customHeight="1" x14ac:dyDescent="0.2">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spans="1:26" ht="15.75" customHeight="1" x14ac:dyDescent="0.2">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spans="1:26" ht="15.75" customHeight="1" x14ac:dyDescent="0.2">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spans="1:26" ht="15.75" customHeight="1" x14ac:dyDescent="0.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spans="1:26" ht="15.75" customHeight="1" x14ac:dyDescent="0.2">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spans="1:26" ht="15.75" customHeight="1" x14ac:dyDescent="0.2">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spans="1:26" ht="15.75" customHeight="1" x14ac:dyDescent="0.2">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spans="1:26" ht="15.75" customHeight="1" x14ac:dyDescent="0.2">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spans="1:26" ht="15.75" customHeight="1" x14ac:dyDescent="0.2">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spans="1:26" ht="15.75" customHeight="1" x14ac:dyDescent="0.2">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spans="1:26" ht="15.75" customHeight="1" x14ac:dyDescent="0.2">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spans="1:26" ht="15.75" customHeight="1" x14ac:dyDescent="0.2">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spans="1:26" ht="15.75" customHeight="1" x14ac:dyDescent="0.2">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spans="1:26" ht="15.75" customHeight="1" x14ac:dyDescent="0.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spans="1:26" ht="15.75" customHeight="1" x14ac:dyDescent="0.2">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spans="1:26" ht="15.75" customHeight="1" x14ac:dyDescent="0.2">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spans="1:26" ht="15.75" customHeight="1" x14ac:dyDescent="0.2">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spans="1:26" ht="15.75" customHeight="1" x14ac:dyDescent="0.2">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spans="1:26" ht="15.75" customHeight="1" x14ac:dyDescent="0.2">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spans="1:26" ht="15.75" customHeight="1" x14ac:dyDescent="0.2">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spans="1:26" ht="15.75" customHeight="1" x14ac:dyDescent="0.2">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spans="1:26" ht="15.75" customHeight="1" x14ac:dyDescent="0.2">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spans="1:26" ht="15.75" customHeight="1" x14ac:dyDescent="0.2">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spans="1:26" ht="15.75" customHeight="1" x14ac:dyDescent="0.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spans="1:26" ht="15.75" customHeight="1" x14ac:dyDescent="0.2">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spans="1:26" ht="15.75" customHeight="1" x14ac:dyDescent="0.2">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spans="1:26" ht="15.75" customHeight="1" x14ac:dyDescent="0.2">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spans="1:26" ht="15.75" customHeight="1" x14ac:dyDescent="0.2">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spans="1:26" ht="15.75" customHeight="1" x14ac:dyDescent="0.2">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spans="1:26" ht="15.75" customHeight="1" x14ac:dyDescent="0.2">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spans="1:26" ht="15.75" customHeight="1" x14ac:dyDescent="0.2">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spans="1:26" ht="15.75" customHeight="1" x14ac:dyDescent="0.2">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spans="1:26" ht="15.75" customHeight="1" x14ac:dyDescent="0.2">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spans="1:26" ht="15.75" customHeight="1" x14ac:dyDescent="0.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spans="1:26" ht="15.75" customHeight="1" x14ac:dyDescent="0.2">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spans="1:26" ht="15.75" customHeight="1" x14ac:dyDescent="0.2">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spans="1:26" ht="15.75" customHeight="1" x14ac:dyDescent="0.2">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spans="1:26" ht="15.75" customHeight="1" x14ac:dyDescent="0.2">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spans="1:26" ht="15.75" customHeight="1" x14ac:dyDescent="0.2">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spans="1:26" ht="15.75" customHeight="1" x14ac:dyDescent="0.2">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spans="1:26" ht="15.75" customHeight="1" x14ac:dyDescent="0.2">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spans="1:26" ht="15.75" customHeight="1" x14ac:dyDescent="0.2">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spans="1:26" ht="15.75" customHeight="1" x14ac:dyDescent="0.2">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spans="1:26" ht="15.75" customHeight="1" x14ac:dyDescent="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spans="1:26" ht="15.75" customHeight="1" x14ac:dyDescent="0.2">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spans="1:26" ht="15.75" customHeight="1" x14ac:dyDescent="0.2">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spans="1:26" ht="15.75" customHeight="1" x14ac:dyDescent="0.2">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spans="1:26" ht="15.75" customHeight="1" x14ac:dyDescent="0.2">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spans="1:26" ht="15.75" customHeight="1" x14ac:dyDescent="0.2">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spans="1:26" ht="15.75" customHeight="1" x14ac:dyDescent="0.2">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spans="1:26" ht="15.75" customHeight="1" x14ac:dyDescent="0.2">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spans="1:26" ht="15.75" customHeight="1" x14ac:dyDescent="0.2">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spans="1:26" ht="15.75" customHeight="1" x14ac:dyDescent="0.2">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spans="1:26" ht="15.75" customHeight="1" x14ac:dyDescent="0.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spans="1:26" ht="15.75" customHeight="1" x14ac:dyDescent="0.2">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spans="1:26" ht="15.75" customHeight="1" x14ac:dyDescent="0.2">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spans="1:26" ht="15.75" customHeight="1" x14ac:dyDescent="0.2">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spans="1:26" ht="15.75" customHeight="1" x14ac:dyDescent="0.2">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spans="1:26" ht="15.75" customHeight="1" x14ac:dyDescent="0.2">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spans="1:26" ht="15.75" customHeight="1" x14ac:dyDescent="0.2">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spans="1:26" ht="15.75" customHeight="1" x14ac:dyDescent="0.2">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spans="1:26" ht="15.75" customHeight="1" x14ac:dyDescent="0.2">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spans="1:26" ht="15.75" customHeight="1" x14ac:dyDescent="0.2">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spans="1:26" ht="15.75" customHeight="1" x14ac:dyDescent="0.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spans="1:26" ht="15.75" customHeight="1" x14ac:dyDescent="0.2">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spans="1:26" ht="15.75" customHeight="1" x14ac:dyDescent="0.2">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spans="1:26" ht="15.75" customHeight="1" x14ac:dyDescent="0.2">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spans="1:26" ht="15.75" customHeight="1" x14ac:dyDescent="0.2">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spans="1:26" ht="15.75" customHeight="1" x14ac:dyDescent="0.2">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spans="1:26" ht="15.75" customHeight="1" x14ac:dyDescent="0.2">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spans="1:26" ht="15.75" customHeight="1" x14ac:dyDescent="0.2">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spans="1:26" ht="15.75" customHeight="1" x14ac:dyDescent="0.2">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spans="1:26" ht="15.75" customHeight="1" x14ac:dyDescent="0.2">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spans="1:26" ht="15.75" customHeight="1" x14ac:dyDescent="0.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spans="1:26" ht="15.75" customHeight="1" x14ac:dyDescent="0.2">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spans="1:26" ht="15.75" customHeight="1" x14ac:dyDescent="0.2">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spans="1:26" ht="15.75" customHeight="1" x14ac:dyDescent="0.2">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spans="1:26" ht="15.75" customHeight="1" x14ac:dyDescent="0.2">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spans="1:26" ht="15.75" customHeight="1" x14ac:dyDescent="0.2">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spans="1:26" ht="15.75" customHeight="1" x14ac:dyDescent="0.2">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spans="1:26" ht="15.75" customHeight="1" x14ac:dyDescent="0.2">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spans="1:26" ht="15.75" customHeight="1" x14ac:dyDescent="0.2">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spans="1:26" ht="15.75" customHeight="1" x14ac:dyDescent="0.2">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spans="1:26" ht="15.75" customHeight="1" x14ac:dyDescent="0.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spans="1:26" ht="15.75" customHeight="1" x14ac:dyDescent="0.2">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spans="1:26" ht="15.75" customHeight="1" x14ac:dyDescent="0.2">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spans="1:26" ht="15.75" customHeight="1" x14ac:dyDescent="0.2">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spans="1:26" ht="15.75" customHeight="1" x14ac:dyDescent="0.2">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spans="1:26" ht="15.75" customHeight="1" x14ac:dyDescent="0.2">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spans="1:26" ht="15.75" customHeight="1" x14ac:dyDescent="0.2">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spans="1:26" ht="15.75" customHeight="1" x14ac:dyDescent="0.2">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spans="1:26" ht="15.75" customHeight="1" x14ac:dyDescent="0.2">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spans="1:26" ht="15.75" customHeight="1" x14ac:dyDescent="0.2">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spans="1:26" ht="15.75" customHeight="1" x14ac:dyDescent="0.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spans="1:26" ht="15.75" customHeight="1" x14ac:dyDescent="0.2">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spans="1:26" ht="15.75" customHeight="1" x14ac:dyDescent="0.2">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spans="1:26" ht="15.75" customHeight="1" x14ac:dyDescent="0.2">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spans="1:26" ht="15.75" customHeight="1" x14ac:dyDescent="0.2">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spans="1:26" ht="15.75" customHeight="1" x14ac:dyDescent="0.2">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spans="1:26" ht="15.75" customHeight="1" x14ac:dyDescent="0.2">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spans="1:26" ht="15.75" customHeight="1" x14ac:dyDescent="0.2">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spans="1:26" ht="15.75" customHeight="1" x14ac:dyDescent="0.2">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spans="1:26" ht="15.75" customHeight="1" x14ac:dyDescent="0.2">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spans="1:26" ht="15.75" customHeight="1" x14ac:dyDescent="0.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spans="1:26" ht="15.75" customHeight="1" x14ac:dyDescent="0.2">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spans="1:26" ht="15.75" customHeight="1" x14ac:dyDescent="0.2">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spans="1:26" ht="15.75" customHeight="1" x14ac:dyDescent="0.2">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spans="1:26" ht="15.75" customHeight="1" x14ac:dyDescent="0.2">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spans="1:26" ht="15.75" customHeight="1" x14ac:dyDescent="0.2">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spans="1:26" ht="15.75" customHeight="1" x14ac:dyDescent="0.2">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spans="1:26" ht="15.75" customHeight="1" x14ac:dyDescent="0.2">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spans="1:26" ht="15.75" customHeight="1" x14ac:dyDescent="0.2">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spans="1:26" ht="15.75" customHeight="1" x14ac:dyDescent="0.2">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spans="1:26" ht="15.75" customHeight="1" x14ac:dyDescent="0.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spans="1:26" ht="15.75" customHeight="1" x14ac:dyDescent="0.2">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spans="1:26" ht="15.75" customHeight="1" x14ac:dyDescent="0.2">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spans="1:26" ht="15.75" customHeight="1" x14ac:dyDescent="0.2">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spans="1:26" ht="15.75" customHeight="1" x14ac:dyDescent="0.2">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spans="1:26" ht="15.75" customHeight="1" x14ac:dyDescent="0.2">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spans="1:26" ht="15.75" customHeight="1" x14ac:dyDescent="0.2">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spans="1:26" ht="15.75" customHeight="1" x14ac:dyDescent="0.2">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spans="1:26" ht="15.75" customHeight="1" x14ac:dyDescent="0.2">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spans="1:26" ht="15.75" customHeight="1" x14ac:dyDescent="0.2">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spans="1:26" ht="15.75" customHeight="1" x14ac:dyDescent="0.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spans="1:26" ht="15.75" customHeight="1" x14ac:dyDescent="0.2">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spans="1:26" ht="15.75" customHeight="1" x14ac:dyDescent="0.2">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spans="1:26" ht="15.75" customHeight="1" x14ac:dyDescent="0.2">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spans="1:26" ht="15.75" customHeight="1" x14ac:dyDescent="0.2">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spans="1:26" ht="15.75" customHeight="1" x14ac:dyDescent="0.2">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spans="1:26" ht="15.75" customHeight="1" x14ac:dyDescent="0.2">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spans="1:26" ht="15.75" customHeight="1" x14ac:dyDescent="0.2">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spans="1:26" ht="15.75" customHeight="1" x14ac:dyDescent="0.2">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spans="1:26" ht="15.75" customHeight="1" x14ac:dyDescent="0.2">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spans="1:26" ht="15.75" customHeight="1" x14ac:dyDescent="0.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spans="1:26" ht="15.75" customHeight="1" x14ac:dyDescent="0.2">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spans="1:26" ht="15.75" customHeight="1" x14ac:dyDescent="0.2">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spans="1:26" ht="15.75" customHeight="1" x14ac:dyDescent="0.2">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spans="1:26" ht="15.75" customHeight="1" x14ac:dyDescent="0.2">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spans="1:26" ht="15.75" customHeight="1" x14ac:dyDescent="0.2">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spans="1:26" ht="15.75" customHeight="1" x14ac:dyDescent="0.2">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spans="1:26" ht="15.75" customHeight="1" x14ac:dyDescent="0.2">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spans="1:26" ht="15.75" customHeight="1" x14ac:dyDescent="0.2">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spans="1:26" ht="15.75" customHeight="1" x14ac:dyDescent="0.2">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spans="1:26" ht="15.75" customHeight="1" x14ac:dyDescent="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spans="1:26" ht="15.75" customHeight="1" x14ac:dyDescent="0.2">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spans="1:26" ht="15.75" customHeight="1" x14ac:dyDescent="0.2">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spans="1:26" ht="15.75" customHeight="1" x14ac:dyDescent="0.2">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spans="1:26" ht="15.75" customHeight="1" x14ac:dyDescent="0.2">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spans="1:26" ht="15.75" customHeight="1" x14ac:dyDescent="0.2">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spans="1:26" ht="15.75" customHeight="1" x14ac:dyDescent="0.2">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spans="1:26" ht="15.75" customHeight="1" x14ac:dyDescent="0.2">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spans="1:26" ht="15.75" customHeight="1" x14ac:dyDescent="0.2">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spans="1:26" ht="15.75" customHeight="1" x14ac:dyDescent="0.2">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spans="1:26" ht="15.75" customHeight="1" x14ac:dyDescent="0.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spans="1:26" ht="15.75" customHeight="1" x14ac:dyDescent="0.2">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spans="1:26" ht="15.75" customHeight="1" x14ac:dyDescent="0.2">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spans="1:26" ht="15.75" customHeight="1" x14ac:dyDescent="0.2">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spans="1:26" ht="15.75" customHeight="1" x14ac:dyDescent="0.2">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spans="1:26" ht="15.75" customHeight="1" x14ac:dyDescent="0.2">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spans="1:26" ht="15.75" customHeight="1" x14ac:dyDescent="0.2">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spans="1:26" ht="15.75" customHeight="1" x14ac:dyDescent="0.2">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spans="1:26" ht="15.75" customHeight="1" x14ac:dyDescent="0.2">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spans="1:26" ht="15.75" customHeight="1" x14ac:dyDescent="0.2">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spans="1:26" ht="15.75" customHeight="1" x14ac:dyDescent="0.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spans="1:26" ht="15.75" customHeight="1" x14ac:dyDescent="0.2">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spans="1:26" ht="15.75" customHeight="1" x14ac:dyDescent="0.2">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spans="1:26" ht="15.75" customHeight="1" x14ac:dyDescent="0.2">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spans="1:26" ht="15.75" customHeight="1" x14ac:dyDescent="0.2">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spans="1:26" ht="15.75" customHeight="1" x14ac:dyDescent="0.2">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spans="1:26" ht="15.75" customHeight="1" x14ac:dyDescent="0.2">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spans="1:26" ht="15.75" customHeight="1" x14ac:dyDescent="0.2">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spans="1:26" ht="15.75" customHeight="1" x14ac:dyDescent="0.2">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spans="1:26" ht="15.75" customHeight="1" x14ac:dyDescent="0.2">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spans="1:26" ht="15.75" customHeight="1" x14ac:dyDescent="0.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spans="1:26" ht="15.75" customHeight="1" x14ac:dyDescent="0.2">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spans="1:26" ht="15.75" customHeight="1" x14ac:dyDescent="0.2">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spans="1:26" ht="15.75" customHeight="1" x14ac:dyDescent="0.2">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spans="1:26" ht="15.75" customHeight="1" x14ac:dyDescent="0.2">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spans="1:26" ht="15.75" customHeight="1" x14ac:dyDescent="0.2">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spans="1:26" ht="15.75" customHeight="1" x14ac:dyDescent="0.2">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spans="1:26" ht="15.75" customHeight="1" x14ac:dyDescent="0.2">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spans="1:26" ht="15.75" customHeight="1" x14ac:dyDescent="0.2">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spans="1:26" ht="15.75" customHeight="1" x14ac:dyDescent="0.2">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spans="1:26" ht="15.75" customHeight="1" x14ac:dyDescent="0.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spans="1:26" ht="15.75" customHeight="1" x14ac:dyDescent="0.2">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spans="1:26" ht="15.75" customHeight="1" x14ac:dyDescent="0.2">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spans="1:26" ht="15.75" customHeight="1" x14ac:dyDescent="0.2">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spans="1:26" ht="15.75" customHeight="1" x14ac:dyDescent="0.2">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spans="1:26" ht="15.75" customHeight="1" x14ac:dyDescent="0.2">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spans="1:26" ht="15.75" customHeight="1" x14ac:dyDescent="0.2">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spans="1:26" ht="15.75" customHeight="1" x14ac:dyDescent="0.2">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spans="1:26" ht="15.75" customHeight="1" x14ac:dyDescent="0.2">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spans="1:26" ht="15.75" customHeight="1" x14ac:dyDescent="0.2">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spans="1:26" ht="15.75" customHeight="1" x14ac:dyDescent="0.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spans="1:26" ht="15.75" customHeight="1" x14ac:dyDescent="0.2">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spans="1:26" ht="15.75" customHeight="1" x14ac:dyDescent="0.2">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spans="1:26" ht="15.75" customHeight="1" x14ac:dyDescent="0.2">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spans="1:26" ht="15.75" customHeight="1" x14ac:dyDescent="0.2">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spans="1:26" ht="15.75" customHeight="1" x14ac:dyDescent="0.2">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spans="1:26" ht="15.75" customHeight="1" x14ac:dyDescent="0.2">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spans="1:26" ht="15.75" customHeight="1" x14ac:dyDescent="0.2">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spans="1:26" ht="15.75" customHeight="1" x14ac:dyDescent="0.2">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spans="1:26" ht="15.75" customHeight="1" x14ac:dyDescent="0.2">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spans="1:26" ht="15.75" customHeight="1" x14ac:dyDescent="0.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spans="1:26" ht="15.75" customHeight="1" x14ac:dyDescent="0.2">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spans="1:26" ht="15.75" customHeight="1" x14ac:dyDescent="0.2">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spans="1:26" ht="15.75" customHeight="1" x14ac:dyDescent="0.2">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spans="1:26" ht="15.75" customHeight="1" x14ac:dyDescent="0.2">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spans="1:26" ht="15.75" customHeight="1" x14ac:dyDescent="0.2">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spans="1:26" ht="15.75" customHeight="1" x14ac:dyDescent="0.2">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spans="1:26" ht="15.75" customHeight="1" x14ac:dyDescent="0.2">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spans="1:26" ht="15.75" customHeight="1" x14ac:dyDescent="0.2">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spans="1:26" ht="15.75" customHeight="1" x14ac:dyDescent="0.2">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spans="1:26" ht="15.75" customHeight="1" x14ac:dyDescent="0.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spans="1:26" ht="15.75" customHeight="1" x14ac:dyDescent="0.2">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spans="1:26" ht="15.75" customHeight="1" x14ac:dyDescent="0.2">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spans="1:26" ht="15.75" customHeight="1" x14ac:dyDescent="0.2">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spans="1:26" ht="15.75" customHeight="1" x14ac:dyDescent="0.2">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spans="1:26" ht="15.75" customHeight="1" x14ac:dyDescent="0.2">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spans="1:26" ht="15.75" customHeight="1" x14ac:dyDescent="0.2">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spans="1:26" ht="15.75" customHeight="1" x14ac:dyDescent="0.2">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spans="1:26" ht="15.75" customHeight="1" x14ac:dyDescent="0.2">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spans="1:26" ht="15.75" customHeight="1" x14ac:dyDescent="0.2">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spans="1:26" ht="15.75" customHeight="1" x14ac:dyDescent="0.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spans="1:26" ht="15.75" customHeight="1" x14ac:dyDescent="0.2">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spans="1:26" ht="15.75" customHeight="1" x14ac:dyDescent="0.2">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spans="1:26" ht="15.75" customHeight="1" x14ac:dyDescent="0.2">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spans="1:26" ht="15.75" customHeight="1" x14ac:dyDescent="0.2">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spans="1:26" ht="15.75" customHeight="1" x14ac:dyDescent="0.2">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spans="1:26" ht="15.75" customHeight="1" x14ac:dyDescent="0.2">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spans="1:26" ht="15.75" customHeight="1" x14ac:dyDescent="0.2">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spans="1:26" ht="15.75" customHeight="1" x14ac:dyDescent="0.2">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spans="1:26" ht="15.75" customHeight="1" x14ac:dyDescent="0.2">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spans="1:26" ht="15.75" customHeight="1" x14ac:dyDescent="0.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spans="1:26" ht="15.75" customHeight="1" x14ac:dyDescent="0.2">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spans="1:26" ht="15.75" customHeight="1" x14ac:dyDescent="0.2">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spans="1:26" ht="15.75" customHeight="1" x14ac:dyDescent="0.2">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spans="1:26" ht="15.75" customHeight="1" x14ac:dyDescent="0.2">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spans="1:26" ht="15.75" customHeight="1" x14ac:dyDescent="0.2">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spans="1:26" ht="15.75" customHeight="1" x14ac:dyDescent="0.2">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spans="1:26" ht="15.75" customHeight="1" x14ac:dyDescent="0.2">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spans="1:26" ht="15.75" customHeight="1" x14ac:dyDescent="0.2">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spans="1:26" ht="15.75" customHeight="1" x14ac:dyDescent="0.2">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spans="1:26" ht="15.75" customHeight="1" x14ac:dyDescent="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spans="1:26" ht="15.75" customHeight="1" x14ac:dyDescent="0.2">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spans="1:26" ht="15.75" customHeight="1" x14ac:dyDescent="0.2">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spans="1:26" ht="15.75" customHeight="1" x14ac:dyDescent="0.2">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spans="1:26" ht="15.75" customHeight="1" x14ac:dyDescent="0.2">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spans="1:26" ht="15.75" customHeight="1" x14ac:dyDescent="0.2">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spans="1:26" ht="15.75" customHeight="1" x14ac:dyDescent="0.2">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spans="1:26" ht="15.75" customHeight="1" x14ac:dyDescent="0.2">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spans="1:26" ht="15.75" customHeight="1" x14ac:dyDescent="0.2">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spans="1:26" ht="15.75" customHeight="1" x14ac:dyDescent="0.2">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spans="1:26" ht="15.75" customHeight="1" x14ac:dyDescent="0.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spans="1:26" ht="15.75" customHeight="1" x14ac:dyDescent="0.2">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spans="1:26" ht="15.75" customHeight="1" x14ac:dyDescent="0.2">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spans="1:26" ht="15.75" customHeight="1" x14ac:dyDescent="0.2">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spans="1:26" ht="15.75" customHeight="1" x14ac:dyDescent="0.2">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spans="1:26" ht="15.75" customHeight="1" x14ac:dyDescent="0.2">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spans="1:26" ht="15.75" customHeight="1" x14ac:dyDescent="0.2">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spans="1:26" ht="15.75" customHeight="1" x14ac:dyDescent="0.2">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spans="1:26" ht="15.75" customHeight="1" x14ac:dyDescent="0.2">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spans="1:26" ht="15.75" customHeight="1" x14ac:dyDescent="0.2">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spans="1:26" ht="15.75" customHeight="1" x14ac:dyDescent="0.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spans="1:26" ht="15.75" customHeight="1" x14ac:dyDescent="0.2">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spans="1:26" ht="15.75" customHeight="1" x14ac:dyDescent="0.2">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spans="1:26" ht="15.75" customHeight="1" x14ac:dyDescent="0.2">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spans="1:26" ht="15.75" customHeight="1" x14ac:dyDescent="0.2">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spans="1:26" ht="15.75" customHeight="1" x14ac:dyDescent="0.2">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spans="1:26" ht="15.75" customHeight="1" x14ac:dyDescent="0.2">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spans="1:26" ht="15.75" customHeight="1" x14ac:dyDescent="0.2">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spans="1:26" ht="15.75" customHeight="1" x14ac:dyDescent="0.2">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spans="1:26" ht="15.75" customHeight="1" x14ac:dyDescent="0.2">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spans="1:26" ht="15.75" customHeight="1" x14ac:dyDescent="0.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spans="1:26" ht="15.75" customHeight="1" x14ac:dyDescent="0.2">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spans="1:26" ht="15.75" customHeight="1" x14ac:dyDescent="0.2">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spans="1:26" ht="15.75" customHeight="1" x14ac:dyDescent="0.2">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spans="1:26" ht="15.75" customHeight="1" x14ac:dyDescent="0.2">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spans="1:26" ht="15.75" customHeight="1" x14ac:dyDescent="0.2">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spans="1:26" ht="15.75" customHeight="1" x14ac:dyDescent="0.2">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spans="1:26" ht="15.75" customHeight="1" x14ac:dyDescent="0.2">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spans="1:26" ht="15.75" customHeight="1" x14ac:dyDescent="0.2">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spans="1:26" ht="15.75" customHeight="1" x14ac:dyDescent="0.2">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spans="1:26" ht="15.75" customHeight="1" x14ac:dyDescent="0.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spans="1:26" ht="15.75" customHeight="1" x14ac:dyDescent="0.2">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spans="1:26" ht="15.75" customHeight="1" x14ac:dyDescent="0.2">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spans="1:26" ht="15.75" customHeight="1" x14ac:dyDescent="0.2">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spans="1:26" ht="15.75" customHeight="1" x14ac:dyDescent="0.2">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spans="1:26" ht="15.75" customHeight="1" x14ac:dyDescent="0.2">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spans="1:26" ht="15.75" customHeight="1" x14ac:dyDescent="0.2">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spans="1:26" ht="15.75" customHeight="1" x14ac:dyDescent="0.2">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spans="1:26" ht="15.75" customHeight="1" x14ac:dyDescent="0.2">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spans="1:26" ht="15.75" customHeight="1" x14ac:dyDescent="0.2">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spans="1:26" ht="15.75" customHeight="1" x14ac:dyDescent="0.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spans="1:26" ht="15.75" customHeight="1" x14ac:dyDescent="0.2">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spans="1:26" ht="15.75" customHeight="1" x14ac:dyDescent="0.2">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spans="1:26" ht="15.75" customHeight="1" x14ac:dyDescent="0.2">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spans="1:26" ht="15.75" customHeight="1" x14ac:dyDescent="0.2">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spans="1:26" ht="15.75" customHeight="1" x14ac:dyDescent="0.2">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spans="1:26" ht="15.75" customHeight="1" x14ac:dyDescent="0.2">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spans="1:26" ht="15.75" customHeight="1" x14ac:dyDescent="0.2">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spans="1:26" ht="15.75" customHeight="1" x14ac:dyDescent="0.2">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spans="1:26" ht="15.75" customHeight="1" x14ac:dyDescent="0.2">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spans="1:26" ht="15.75" customHeight="1" x14ac:dyDescent="0.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spans="1:26" ht="15.75" customHeight="1" x14ac:dyDescent="0.2">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spans="1:26" ht="15.75" customHeight="1" x14ac:dyDescent="0.2">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spans="1:26" ht="15.75" customHeight="1" x14ac:dyDescent="0.2">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spans="1:26" ht="15.75" customHeight="1" x14ac:dyDescent="0.2">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spans="1:26" ht="15.75" customHeight="1" x14ac:dyDescent="0.2">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spans="1:26" ht="15.75" customHeight="1" x14ac:dyDescent="0.2">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spans="1:26" ht="15.75" customHeight="1" x14ac:dyDescent="0.2">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spans="1:26" ht="15.75" customHeight="1" x14ac:dyDescent="0.2">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spans="1:26" ht="15.75" customHeight="1" x14ac:dyDescent="0.2">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spans="1:26" ht="15.75" customHeight="1" x14ac:dyDescent="0.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spans="1:26" ht="15.75" customHeight="1" x14ac:dyDescent="0.2">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spans="1:26" ht="15.75" customHeight="1" x14ac:dyDescent="0.2">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spans="1:26" ht="15.75" customHeight="1" x14ac:dyDescent="0.2">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spans="1:26" ht="15.75" customHeight="1" x14ac:dyDescent="0.2">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spans="1:26" ht="15.75" customHeight="1" x14ac:dyDescent="0.2">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spans="1:26" ht="15.75" customHeight="1" x14ac:dyDescent="0.2">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spans="1:26" ht="15.75" customHeight="1" x14ac:dyDescent="0.2">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spans="1:26" ht="15.75" customHeight="1" x14ac:dyDescent="0.2">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spans="1:26" ht="15.75" customHeight="1" x14ac:dyDescent="0.2">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spans="1:26" ht="15.75" customHeight="1" x14ac:dyDescent="0.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spans="1:26" ht="15.75" customHeight="1" x14ac:dyDescent="0.2">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spans="1:26" ht="15.75" customHeight="1" x14ac:dyDescent="0.2">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spans="1:26" ht="15.75" customHeight="1" x14ac:dyDescent="0.2">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spans="1:26" ht="15.75" customHeight="1" x14ac:dyDescent="0.2">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spans="1:26" ht="15.75" customHeight="1" x14ac:dyDescent="0.2">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spans="1:26" ht="15.75" customHeight="1" x14ac:dyDescent="0.2">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spans="1:26" ht="15.75" customHeight="1" x14ac:dyDescent="0.2">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spans="1:26" ht="15.75" customHeight="1" x14ac:dyDescent="0.2">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spans="1:26" ht="15.75" customHeight="1" x14ac:dyDescent="0.2">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spans="1:26" ht="15.75" customHeight="1" x14ac:dyDescent="0.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spans="1:26" ht="15.75" customHeight="1" x14ac:dyDescent="0.2">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spans="1:26" ht="15.75" customHeight="1" x14ac:dyDescent="0.2">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spans="1:26" ht="15.75" customHeight="1" x14ac:dyDescent="0.2">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spans="1:26" ht="15.75" customHeight="1" x14ac:dyDescent="0.2">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spans="1:26" ht="15.75" customHeight="1" x14ac:dyDescent="0.2">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spans="1:26" ht="15.75" customHeight="1" x14ac:dyDescent="0.2">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spans="1:26" ht="15.75" customHeight="1" x14ac:dyDescent="0.2">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spans="1:26" ht="15.75" customHeight="1" x14ac:dyDescent="0.2">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spans="1:26" ht="15.75" customHeight="1" x14ac:dyDescent="0.2">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spans="1:26" ht="15.75" customHeight="1" x14ac:dyDescent="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spans="1:26" ht="15.75" customHeight="1" x14ac:dyDescent="0.2">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spans="1:26" ht="15.75" customHeight="1" x14ac:dyDescent="0.2">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spans="1:26" ht="15.75" customHeight="1" x14ac:dyDescent="0.2">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spans="1:26" ht="15.75" customHeight="1" x14ac:dyDescent="0.2">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spans="1:26" ht="15.75" customHeight="1" x14ac:dyDescent="0.2">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spans="1:26" ht="15.75" customHeight="1" x14ac:dyDescent="0.2">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spans="1:26" ht="15.75" customHeight="1" x14ac:dyDescent="0.2">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spans="1:26" ht="15.75" customHeight="1" x14ac:dyDescent="0.2">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spans="1:26" ht="15.75" customHeight="1" x14ac:dyDescent="0.2">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spans="1:26" ht="15.75" customHeight="1" x14ac:dyDescent="0.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spans="1:26" ht="15.75" customHeight="1" x14ac:dyDescent="0.2">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spans="1:26" ht="15.75" customHeight="1" x14ac:dyDescent="0.2">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spans="1:26" ht="15.75" customHeight="1" x14ac:dyDescent="0.2">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spans="1:26" ht="15.75" customHeight="1" x14ac:dyDescent="0.2">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spans="1:26" ht="15.75" customHeight="1" x14ac:dyDescent="0.2">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spans="1:26" ht="15.75" customHeight="1" x14ac:dyDescent="0.2">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spans="1:26" ht="15.75" customHeight="1" x14ac:dyDescent="0.2">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spans="1:26" ht="15.75" customHeight="1" x14ac:dyDescent="0.2">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spans="1:26" ht="15.75" customHeight="1" x14ac:dyDescent="0.2">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spans="1:26" ht="15.75" customHeight="1" x14ac:dyDescent="0.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spans="1:26" ht="15.75" customHeight="1" x14ac:dyDescent="0.2">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spans="1:26" ht="15.75" customHeight="1" x14ac:dyDescent="0.2">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spans="1:26" ht="15.75" customHeight="1" x14ac:dyDescent="0.2">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spans="1:26" ht="15.75" customHeight="1" x14ac:dyDescent="0.2">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spans="1:26" ht="15.75" customHeight="1" x14ac:dyDescent="0.2">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spans="1:26" ht="15.75" customHeight="1" x14ac:dyDescent="0.2">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spans="1:26" ht="15.75" customHeight="1" x14ac:dyDescent="0.2">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spans="1:26" ht="15.75" customHeight="1" x14ac:dyDescent="0.2">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spans="1:26" ht="15.75" customHeight="1" x14ac:dyDescent="0.2">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spans="1:26" ht="15.75" customHeight="1" x14ac:dyDescent="0.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spans="1:26" ht="15.75" customHeight="1" x14ac:dyDescent="0.2">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spans="1:26" ht="15.75" customHeight="1" x14ac:dyDescent="0.2">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spans="1:26" ht="15.75" customHeight="1" x14ac:dyDescent="0.2">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spans="1:26" ht="15.75" customHeight="1" x14ac:dyDescent="0.2">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spans="1:26" ht="15.75" customHeight="1" x14ac:dyDescent="0.2">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spans="1:26" ht="15.75" customHeight="1" x14ac:dyDescent="0.2">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spans="1:26" ht="15.75" customHeight="1" x14ac:dyDescent="0.2">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spans="1:26" ht="15.75" customHeight="1" x14ac:dyDescent="0.2">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spans="1:26" ht="15.75" customHeight="1" x14ac:dyDescent="0.2">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spans="1:26" ht="15.75" customHeight="1" x14ac:dyDescent="0.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spans="1:26" ht="15.75" customHeight="1" x14ac:dyDescent="0.2">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spans="1:26" ht="15.75" customHeight="1" x14ac:dyDescent="0.2">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spans="1:26" ht="15.75" customHeight="1" x14ac:dyDescent="0.2">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spans="1:26" ht="15.75" customHeight="1" x14ac:dyDescent="0.2">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spans="1:26" ht="15.75" customHeight="1" x14ac:dyDescent="0.2">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spans="1:26" ht="15.75" customHeight="1" x14ac:dyDescent="0.2">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spans="1:26" ht="15.75" customHeight="1" x14ac:dyDescent="0.2">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spans="1:26" ht="15.75" customHeight="1" x14ac:dyDescent="0.2">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spans="1:26" ht="15.75" customHeight="1" x14ac:dyDescent="0.2">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spans="1:26" ht="15.75" customHeight="1" x14ac:dyDescent="0.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spans="1:26" ht="15.75" customHeight="1" x14ac:dyDescent="0.2">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spans="1:26" ht="15.75" customHeight="1" x14ac:dyDescent="0.2">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spans="1:26" ht="15.75" customHeight="1" x14ac:dyDescent="0.2">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spans="1:26" ht="15.75" customHeight="1" x14ac:dyDescent="0.2">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spans="1:26" ht="15.75" customHeight="1" x14ac:dyDescent="0.2">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spans="1:26" ht="15.75" customHeight="1" x14ac:dyDescent="0.2">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spans="1:26" ht="15.75" customHeight="1" x14ac:dyDescent="0.2">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spans="1:26" ht="15.75" customHeight="1" x14ac:dyDescent="0.2">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spans="1:26" ht="15.75" customHeight="1" x14ac:dyDescent="0.2">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spans="1:26" ht="15.75" customHeight="1" x14ac:dyDescent="0.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spans="1:26" ht="15.75" customHeight="1" x14ac:dyDescent="0.2">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spans="1:26" ht="15.75" customHeight="1" x14ac:dyDescent="0.2">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spans="1:26" ht="15.75" customHeight="1" x14ac:dyDescent="0.2">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spans="1:26" ht="15.75" customHeight="1" x14ac:dyDescent="0.2">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spans="1:26" ht="15.75" customHeight="1" x14ac:dyDescent="0.2">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spans="1:26" ht="15.75" customHeight="1" x14ac:dyDescent="0.2">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spans="1:26" ht="15.75" customHeight="1" x14ac:dyDescent="0.2">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spans="1:26" ht="15.75" customHeight="1" x14ac:dyDescent="0.2">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spans="1:26" ht="15.75" customHeight="1" x14ac:dyDescent="0.2">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spans="1:26" ht="15.75" customHeight="1" x14ac:dyDescent="0.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spans="1:26" ht="15.75" customHeight="1" x14ac:dyDescent="0.2">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spans="1:26" ht="15.75" customHeight="1" x14ac:dyDescent="0.2">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spans="1:26" ht="15.75" customHeight="1" x14ac:dyDescent="0.2">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spans="1:26" ht="15.75" customHeight="1" x14ac:dyDescent="0.2">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spans="1:26" ht="15.75" customHeight="1" x14ac:dyDescent="0.2">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spans="1:26" ht="15.75" customHeight="1" x14ac:dyDescent="0.2">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spans="1:26" ht="15.75" customHeight="1" x14ac:dyDescent="0.2">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spans="1:26" ht="15.75" customHeight="1" x14ac:dyDescent="0.2">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spans="1:26" ht="15.75" customHeight="1" x14ac:dyDescent="0.2">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spans="1:26" ht="15.75" customHeight="1" x14ac:dyDescent="0.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spans="1:26" ht="15.75" customHeight="1" x14ac:dyDescent="0.2">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spans="1:26" ht="15.75" customHeight="1" x14ac:dyDescent="0.2">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spans="1:26" ht="15.75" customHeight="1" x14ac:dyDescent="0.2">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spans="1:26" ht="15.75" customHeight="1" x14ac:dyDescent="0.2">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spans="1:26" ht="15.75" customHeight="1" x14ac:dyDescent="0.2">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spans="1:26" ht="15.75" customHeight="1" x14ac:dyDescent="0.2">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spans="1:26" ht="15.75" customHeight="1" x14ac:dyDescent="0.2">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spans="1:26" ht="15.75" customHeight="1" x14ac:dyDescent="0.2">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spans="1:26" ht="15.75" customHeight="1" x14ac:dyDescent="0.2">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spans="1:26" ht="15.75" customHeight="1" x14ac:dyDescent="0.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spans="1:26" ht="15.75" customHeight="1" x14ac:dyDescent="0.2">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spans="1:26" ht="15.75" customHeight="1" x14ac:dyDescent="0.2">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spans="1:26" ht="15.75" customHeight="1" x14ac:dyDescent="0.2">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spans="1:26" ht="15.75" customHeight="1" x14ac:dyDescent="0.2">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spans="1:26" ht="15.75" customHeight="1" x14ac:dyDescent="0.2">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spans="1:26" ht="15.75" customHeight="1" x14ac:dyDescent="0.2">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spans="1:26" ht="15.75" customHeight="1" x14ac:dyDescent="0.2">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spans="1:26" ht="15.75" customHeight="1" x14ac:dyDescent="0.2">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spans="1:26" ht="15.75" customHeight="1" x14ac:dyDescent="0.2">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spans="1:26" ht="15.75" customHeight="1" x14ac:dyDescent="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spans="1:26" ht="15.75" customHeight="1" x14ac:dyDescent="0.2">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spans="1:26" ht="15.75" customHeight="1" x14ac:dyDescent="0.2">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spans="1:26" ht="15.75" customHeight="1" x14ac:dyDescent="0.2">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spans="1:26" ht="15.75" customHeight="1" x14ac:dyDescent="0.2">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spans="1:26" ht="15.75" customHeight="1" x14ac:dyDescent="0.2">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spans="1:26" ht="15.75" customHeight="1" x14ac:dyDescent="0.2">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spans="1:26" ht="15.75" customHeight="1" x14ac:dyDescent="0.2">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spans="1:26" ht="15.75" customHeight="1" x14ac:dyDescent="0.2">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spans="1:26" ht="15.75" customHeight="1" x14ac:dyDescent="0.2">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spans="1:26" ht="15.75" customHeight="1" x14ac:dyDescent="0.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spans="1:26" ht="15.75" customHeight="1" x14ac:dyDescent="0.2">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spans="1:26" ht="15.75" customHeight="1" x14ac:dyDescent="0.2">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spans="1:26" ht="15.75" customHeight="1" x14ac:dyDescent="0.2">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spans="1:26" ht="15.75" customHeight="1" x14ac:dyDescent="0.2">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spans="1:26" ht="15.75" customHeight="1" x14ac:dyDescent="0.2">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spans="1:26" ht="15.75" customHeight="1" x14ac:dyDescent="0.2">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spans="1:26" ht="15.75" customHeight="1" x14ac:dyDescent="0.2">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spans="1:26" ht="15.75" customHeight="1" x14ac:dyDescent="0.2">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spans="1:26" ht="15.75" customHeight="1" x14ac:dyDescent="0.2">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spans="1:26" ht="15.75" customHeight="1" x14ac:dyDescent="0.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spans="1:26" ht="15.75" customHeight="1" x14ac:dyDescent="0.2">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spans="1:26" ht="15.75" customHeight="1" x14ac:dyDescent="0.2">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spans="1:26" ht="15.75" customHeight="1" x14ac:dyDescent="0.2">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spans="1:26" ht="15.75" customHeight="1" x14ac:dyDescent="0.2">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spans="1:26" ht="15.75" customHeight="1" x14ac:dyDescent="0.2">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spans="1:26" ht="15.75" customHeight="1" x14ac:dyDescent="0.2">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spans="1:26" ht="15.75" customHeight="1" x14ac:dyDescent="0.2">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spans="1:26" ht="15.75" customHeight="1" x14ac:dyDescent="0.2">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spans="1:26" ht="15.75" customHeight="1" x14ac:dyDescent="0.2">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spans="1:26" ht="15.75" customHeight="1" x14ac:dyDescent="0.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spans="1:26" ht="15.75" customHeight="1" x14ac:dyDescent="0.2">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spans="1:26" ht="15.75" customHeight="1" x14ac:dyDescent="0.2">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spans="1:26" ht="15.75" customHeight="1" x14ac:dyDescent="0.2">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spans="1:26" ht="15.75" customHeight="1" x14ac:dyDescent="0.2">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spans="1:26" ht="15.75" customHeight="1" x14ac:dyDescent="0.2">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spans="1:26" ht="15.75" customHeight="1" x14ac:dyDescent="0.2">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spans="1:26" ht="15.75" customHeight="1" x14ac:dyDescent="0.2">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spans="1:26" ht="15.75" customHeight="1" x14ac:dyDescent="0.2">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spans="1:26" ht="15.75" customHeight="1" x14ac:dyDescent="0.2">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spans="1:26" ht="15.75" customHeight="1" x14ac:dyDescent="0.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spans="1:26" ht="15.75" customHeight="1" x14ac:dyDescent="0.2">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spans="1:26" ht="15.75" customHeight="1" x14ac:dyDescent="0.2">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spans="1:26" ht="15.75" customHeight="1" x14ac:dyDescent="0.2">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spans="1:26" ht="15.75" customHeight="1" x14ac:dyDescent="0.2">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spans="1:26" ht="15.75" customHeight="1" x14ac:dyDescent="0.2">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spans="1:26" ht="15.75" customHeight="1" x14ac:dyDescent="0.2">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spans="1:26" ht="15.75" customHeight="1" x14ac:dyDescent="0.2">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spans="1:26" ht="15.75" customHeight="1" x14ac:dyDescent="0.2">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spans="1:26" ht="15.75" customHeight="1" x14ac:dyDescent="0.2">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spans="1:26" ht="15.75" customHeight="1" x14ac:dyDescent="0.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spans="1:26" ht="15.75" customHeight="1" x14ac:dyDescent="0.2">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spans="1:26" ht="15.75" customHeight="1" x14ac:dyDescent="0.2">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spans="1:26" ht="15.75" customHeight="1" x14ac:dyDescent="0.2">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spans="1:26" ht="15.75" customHeight="1" x14ac:dyDescent="0.2">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spans="1:26" ht="15.75" customHeight="1" x14ac:dyDescent="0.2">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spans="1:26" ht="15.75" customHeight="1" x14ac:dyDescent="0.2">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spans="1:26" ht="15.75" customHeight="1" x14ac:dyDescent="0.2">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spans="1:26" ht="15.75" customHeight="1" x14ac:dyDescent="0.2">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spans="1:26" ht="15.75" customHeight="1" x14ac:dyDescent="0.2">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spans="1:26" ht="15.75" customHeight="1" x14ac:dyDescent="0.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spans="1:26" ht="15.75" customHeight="1" x14ac:dyDescent="0.2">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spans="1:26" ht="15.75" customHeight="1" x14ac:dyDescent="0.2">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spans="1:26" ht="15.75" customHeight="1" x14ac:dyDescent="0.2">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spans="1:26" ht="15.75" customHeight="1" x14ac:dyDescent="0.2">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spans="1:26" ht="15.75" customHeight="1" x14ac:dyDescent="0.2">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spans="1:26" ht="15.75" customHeight="1" x14ac:dyDescent="0.2">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spans="1:26" ht="15.75" customHeight="1" x14ac:dyDescent="0.2">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spans="1:26" ht="15.75" customHeight="1" x14ac:dyDescent="0.2">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spans="1:26" ht="15.75" customHeight="1" x14ac:dyDescent="0.2">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spans="1:26" ht="15.75" customHeight="1" x14ac:dyDescent="0.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spans="1:26" ht="15.75" customHeight="1" x14ac:dyDescent="0.2">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spans="1:26" ht="15.75" customHeight="1" x14ac:dyDescent="0.2">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spans="1:26" ht="15.75" customHeight="1" x14ac:dyDescent="0.2">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spans="1:26" ht="15.75" customHeight="1" x14ac:dyDescent="0.2">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spans="1:26" ht="15.75" customHeight="1" x14ac:dyDescent="0.2">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spans="1:26" ht="15.75" customHeight="1" x14ac:dyDescent="0.2">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spans="1:26" ht="15.75" customHeight="1" x14ac:dyDescent="0.2">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spans="1:26" ht="15.75" customHeight="1" x14ac:dyDescent="0.2">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spans="1:26" ht="15.75" customHeight="1" x14ac:dyDescent="0.2">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spans="1:26" ht="15.75" customHeight="1" x14ac:dyDescent="0.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spans="1:26" ht="15.75" customHeight="1" x14ac:dyDescent="0.2">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spans="1:26" ht="15.75" customHeight="1" x14ac:dyDescent="0.2">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spans="1:26" ht="15.75" customHeight="1" x14ac:dyDescent="0.2">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spans="1:26" ht="15.75" customHeight="1" x14ac:dyDescent="0.2">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spans="1:26" ht="15.75" customHeight="1" x14ac:dyDescent="0.2">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spans="1:26" ht="15.75" customHeight="1" x14ac:dyDescent="0.2">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spans="1:26" ht="15.75" customHeight="1" x14ac:dyDescent="0.2">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spans="1:26" ht="15.75" customHeight="1" x14ac:dyDescent="0.2">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spans="1:26" ht="15.75" customHeight="1" x14ac:dyDescent="0.2">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spans="1:26" ht="15.75" customHeight="1" x14ac:dyDescent="0.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spans="1:26" ht="15.75" customHeight="1" x14ac:dyDescent="0.2">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spans="1:26" ht="15.75" customHeight="1" x14ac:dyDescent="0.2">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spans="1:26" ht="15.75" customHeight="1" x14ac:dyDescent="0.2">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spans="1:26" ht="15.75" customHeight="1" x14ac:dyDescent="0.2">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spans="1:26" ht="15.75" customHeight="1" x14ac:dyDescent="0.2">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spans="1:26" ht="15.75" customHeight="1" x14ac:dyDescent="0.2">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spans="1:26" ht="15.75" customHeight="1" x14ac:dyDescent="0.2">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spans="1:26" ht="15.75" customHeight="1" x14ac:dyDescent="0.2">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spans="1:26" ht="15.75" customHeight="1" x14ac:dyDescent="0.2">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spans="1:26" ht="15.75" customHeight="1" x14ac:dyDescent="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spans="1:26" ht="15.75" customHeight="1" x14ac:dyDescent="0.2">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spans="1:26" ht="15.75" customHeight="1" x14ac:dyDescent="0.2">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spans="1:26" ht="15.75" customHeight="1" x14ac:dyDescent="0.2">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spans="1:26" ht="15.75" customHeight="1" x14ac:dyDescent="0.2">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spans="1:26" ht="15.75" customHeight="1" x14ac:dyDescent="0.2">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spans="1:26" ht="15.75" customHeight="1" x14ac:dyDescent="0.2">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spans="1:26" ht="15.75" customHeight="1" x14ac:dyDescent="0.2">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spans="1:26" ht="15.75" customHeight="1" x14ac:dyDescent="0.2">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spans="1:26" ht="15.75" customHeight="1" x14ac:dyDescent="0.2">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spans="1:26" ht="15.75" customHeight="1" x14ac:dyDescent="0.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spans="1:26" ht="15.75" customHeight="1" x14ac:dyDescent="0.2">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spans="1:26" ht="15.75" customHeight="1" x14ac:dyDescent="0.2">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spans="1:26" ht="15.75" customHeight="1" x14ac:dyDescent="0.2">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spans="1:26" ht="15.75" customHeight="1" x14ac:dyDescent="0.2">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spans="1:26" ht="15.75" customHeight="1" x14ac:dyDescent="0.2">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spans="1:26" ht="15.75" customHeight="1" x14ac:dyDescent="0.2">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spans="1:26" ht="15.75" customHeight="1" x14ac:dyDescent="0.2">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spans="1:26" ht="15.75" customHeight="1" x14ac:dyDescent="0.2">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spans="1:26" ht="15.75" customHeight="1" x14ac:dyDescent="0.2">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spans="1:26" ht="15.75" customHeight="1" x14ac:dyDescent="0.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spans="1:26" ht="15.75" customHeight="1" x14ac:dyDescent="0.2">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spans="1:26" ht="15.75" customHeight="1" x14ac:dyDescent="0.2">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spans="1:26" ht="15.75" customHeight="1" x14ac:dyDescent="0.2">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spans="1:26" ht="15.75" customHeight="1" x14ac:dyDescent="0.2">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spans="1:26" ht="15.75" customHeight="1" x14ac:dyDescent="0.2">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spans="1:26" ht="15.75" customHeight="1" x14ac:dyDescent="0.2">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spans="1:26" ht="15.75" customHeight="1" x14ac:dyDescent="0.2">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spans="1:26" ht="15.75" customHeight="1" x14ac:dyDescent="0.2">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spans="1:26" ht="15.75" customHeight="1" x14ac:dyDescent="0.2">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spans="1:26" ht="15.75" customHeight="1" x14ac:dyDescent="0.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spans="1:26" ht="15.75" customHeight="1" x14ac:dyDescent="0.2">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spans="1:26" ht="15.75" customHeight="1" x14ac:dyDescent="0.2">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spans="1:26" ht="15.75" customHeight="1" x14ac:dyDescent="0.2">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spans="1:26" ht="15.75" customHeight="1" x14ac:dyDescent="0.2">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spans="1:26" ht="15.75" customHeight="1" x14ac:dyDescent="0.2">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spans="1:26" ht="15.75" customHeight="1" x14ac:dyDescent="0.2">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spans="1:26" ht="15.75" customHeight="1" x14ac:dyDescent="0.2">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spans="1:26" ht="15.75" customHeight="1" x14ac:dyDescent="0.2">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spans="1:26" ht="15.75" customHeight="1" x14ac:dyDescent="0.2">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spans="1:26" ht="15.75" customHeight="1" x14ac:dyDescent="0.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spans="1:26" ht="15.75" customHeight="1" x14ac:dyDescent="0.2">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spans="1:26" ht="15.75" customHeight="1" x14ac:dyDescent="0.2">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spans="1:26" ht="15.75" customHeight="1" x14ac:dyDescent="0.2">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spans="1:26" ht="15.75" customHeight="1" x14ac:dyDescent="0.2">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spans="1:26" ht="15.75" customHeight="1" x14ac:dyDescent="0.2">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spans="1:26" ht="15.75" customHeight="1" x14ac:dyDescent="0.2">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spans="1:26" ht="15.75" customHeight="1" x14ac:dyDescent="0.2">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spans="1:26" ht="15.75" customHeight="1" x14ac:dyDescent="0.2">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spans="1:26" ht="15.75" customHeight="1" x14ac:dyDescent="0.2">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spans="1:26" ht="15.75" customHeight="1" x14ac:dyDescent="0.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spans="1:26" ht="15.75" customHeight="1" x14ac:dyDescent="0.2">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spans="1:26" ht="15.75" customHeight="1" x14ac:dyDescent="0.2">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spans="1:26" ht="15.75" customHeight="1" x14ac:dyDescent="0.2">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spans="1:26" ht="15.75" customHeight="1" x14ac:dyDescent="0.2">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spans="1:26" ht="15.75" customHeight="1" x14ac:dyDescent="0.2">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spans="1:26" ht="15.75" customHeight="1" x14ac:dyDescent="0.2">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spans="1:26" ht="15.75" customHeight="1" x14ac:dyDescent="0.2">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spans="1:26" ht="15.75" customHeight="1" x14ac:dyDescent="0.2">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spans="1:26" ht="15.75" customHeight="1" x14ac:dyDescent="0.2">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spans="1:26" ht="15.75" customHeight="1" x14ac:dyDescent="0.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spans="1:26" ht="15.75" customHeight="1" x14ac:dyDescent="0.2">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spans="1:26" ht="15.75" customHeight="1" x14ac:dyDescent="0.2">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spans="1:26" ht="15.75" customHeight="1" x14ac:dyDescent="0.2">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spans="1:26" ht="15.75" customHeight="1" x14ac:dyDescent="0.2">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spans="1:26" ht="15.75" customHeight="1" x14ac:dyDescent="0.2">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spans="1:26" ht="15.75" customHeight="1" x14ac:dyDescent="0.2">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spans="1:26" ht="15.75" customHeight="1" x14ac:dyDescent="0.2">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spans="1:26" ht="15.75" customHeight="1" x14ac:dyDescent="0.2">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spans="1:26" ht="15.75" customHeight="1" x14ac:dyDescent="0.2">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spans="1:26" ht="15.75" customHeight="1" x14ac:dyDescent="0.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spans="1:26" ht="15.75" customHeight="1" x14ac:dyDescent="0.2">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spans="1:26" ht="15.75" customHeight="1" x14ac:dyDescent="0.2">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spans="1:26" ht="15.75" customHeight="1" x14ac:dyDescent="0.2">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spans="1:26" ht="15.75" customHeight="1" x14ac:dyDescent="0.2">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spans="1:26" ht="15.75" customHeight="1" x14ac:dyDescent="0.2">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spans="1:26" ht="15.75" customHeight="1" x14ac:dyDescent="0.2">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spans="1:26" ht="15.75" customHeight="1" x14ac:dyDescent="0.2">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spans="1:26" ht="15.75" customHeight="1" x14ac:dyDescent="0.2">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spans="1:26" ht="15.75" customHeight="1" x14ac:dyDescent="0.2">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spans="1:26" ht="15.75" customHeight="1" x14ac:dyDescent="0.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spans="1:26" ht="15.75" customHeight="1" x14ac:dyDescent="0.2">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spans="1:26" ht="15.75" customHeight="1" x14ac:dyDescent="0.2">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spans="1:26" ht="15.75" customHeight="1" x14ac:dyDescent="0.2">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spans="1:26" ht="15.75" customHeight="1" x14ac:dyDescent="0.2">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spans="1:26" ht="15.75" customHeight="1" x14ac:dyDescent="0.2">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spans="1:26" ht="15.75" customHeight="1" x14ac:dyDescent="0.2">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spans="1:26" ht="15.75" customHeight="1" x14ac:dyDescent="0.2">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spans="1:26" ht="15.75" customHeight="1" x14ac:dyDescent="0.2">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spans="1:26" ht="15.75" customHeight="1" x14ac:dyDescent="0.2">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spans="1:26" ht="15.75" customHeight="1" x14ac:dyDescent="0.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spans="1:26" ht="15.75" customHeight="1" x14ac:dyDescent="0.2">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spans="1:26" ht="15.75" customHeight="1" x14ac:dyDescent="0.2">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spans="1:26" ht="15.75" customHeight="1" x14ac:dyDescent="0.2">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spans="1:26" ht="15.75" customHeight="1" x14ac:dyDescent="0.2">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spans="1:26" ht="15.75" customHeight="1" x14ac:dyDescent="0.2">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spans="1:26" ht="15.75" customHeight="1" x14ac:dyDescent="0.2">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spans="1:26" ht="15.75" customHeight="1" x14ac:dyDescent="0.2">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spans="1:26" ht="15.75" customHeight="1" x14ac:dyDescent="0.2">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spans="1:26" ht="15.75" customHeight="1" x14ac:dyDescent="0.2">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spans="1:26" ht="15.75" customHeight="1" x14ac:dyDescent="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spans="1:26" ht="15.75" customHeight="1" x14ac:dyDescent="0.2">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spans="1:26" ht="15.75" customHeight="1" x14ac:dyDescent="0.2">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spans="1:26" ht="15.75" customHeight="1" x14ac:dyDescent="0.2">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spans="1:26" ht="15.75" customHeight="1" x14ac:dyDescent="0.2">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spans="1:26" ht="15.75" customHeight="1" x14ac:dyDescent="0.2">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spans="1:26" ht="15.75" customHeight="1" x14ac:dyDescent="0.2">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spans="1:26" ht="15.75" customHeight="1" x14ac:dyDescent="0.2">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spans="1:26" ht="15.75" customHeight="1" x14ac:dyDescent="0.2">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spans="1:26" ht="15.75" customHeight="1" x14ac:dyDescent="0.2">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spans="1:26" ht="15.75" customHeight="1" x14ac:dyDescent="0.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spans="1:26" ht="15.75" customHeight="1" x14ac:dyDescent="0.2">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spans="1:26" ht="15.75" customHeight="1" x14ac:dyDescent="0.2">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spans="1:26" ht="15.75" customHeight="1" x14ac:dyDescent="0.2">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spans="1:26" ht="15.75" customHeight="1" x14ac:dyDescent="0.2">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spans="1:26" ht="15.75" customHeight="1" x14ac:dyDescent="0.2">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spans="1:26" ht="15.75" customHeight="1" x14ac:dyDescent="0.2">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spans="1:26" ht="15.75" customHeight="1" x14ac:dyDescent="0.2">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spans="1:26" ht="15.75" customHeight="1" x14ac:dyDescent="0.2">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spans="1:26" ht="15.75" customHeight="1" x14ac:dyDescent="0.2">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spans="1:26" ht="15.75" customHeight="1" x14ac:dyDescent="0.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spans="1:26" ht="15.75" customHeight="1" x14ac:dyDescent="0.2">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spans="1:26" ht="15.75" customHeight="1" x14ac:dyDescent="0.2">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spans="1:26" ht="15.75" customHeight="1" x14ac:dyDescent="0.2">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spans="1:26" ht="15.75" customHeight="1" x14ac:dyDescent="0.2">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spans="1:26" ht="15.75" customHeight="1" x14ac:dyDescent="0.2">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spans="1:26" ht="15.75" customHeight="1" x14ac:dyDescent="0.2">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spans="1:26" ht="15.75" customHeight="1" x14ac:dyDescent="0.2">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spans="1:26" ht="15.75" customHeight="1" x14ac:dyDescent="0.2">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spans="1:26" ht="15.75" customHeight="1" x14ac:dyDescent="0.2">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spans="1:26" ht="15.75" customHeight="1" x14ac:dyDescent="0.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spans="1:26" ht="15.75" customHeight="1" x14ac:dyDescent="0.2">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spans="1:26" ht="15.75" customHeight="1" x14ac:dyDescent="0.2">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spans="1:26" ht="15.75" customHeight="1" x14ac:dyDescent="0.2">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spans="1:26" ht="15.75" customHeight="1" x14ac:dyDescent="0.2">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spans="1:26" ht="15.75" customHeight="1" x14ac:dyDescent="0.2">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spans="1:26" ht="15.75" customHeight="1" x14ac:dyDescent="0.2">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spans="1:26" ht="15.75" customHeight="1" x14ac:dyDescent="0.2">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spans="1:26" ht="15.75" customHeight="1" x14ac:dyDescent="0.2">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spans="1:26" ht="15.75" customHeight="1" x14ac:dyDescent="0.2">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spans="1:26" ht="15.75" customHeight="1" x14ac:dyDescent="0.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spans="1:26" ht="15.75" customHeight="1" x14ac:dyDescent="0.2">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spans="1:26" ht="15.75" customHeight="1" x14ac:dyDescent="0.2">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spans="1:26" ht="15.75" customHeight="1" x14ac:dyDescent="0.2">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spans="1:26" ht="15.75" customHeight="1" x14ac:dyDescent="0.2">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spans="1:26" ht="15.75" customHeight="1" x14ac:dyDescent="0.2">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spans="1:26" ht="15.75" customHeight="1" x14ac:dyDescent="0.2">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spans="1:26" ht="15.75" customHeight="1" x14ac:dyDescent="0.2">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spans="1:26" ht="15.75" customHeight="1" x14ac:dyDescent="0.2">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spans="1:26" ht="15.75" customHeight="1" x14ac:dyDescent="0.2">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spans="1:26" ht="15.75" customHeight="1" x14ac:dyDescent="0.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spans="1:26" ht="15.75" customHeight="1" x14ac:dyDescent="0.2">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spans="1:26" ht="15.75" customHeight="1" x14ac:dyDescent="0.2">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spans="1:26" ht="15.75" customHeight="1" x14ac:dyDescent="0.2">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spans="1:26" ht="15.75" customHeight="1" x14ac:dyDescent="0.2">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spans="1:26" ht="15.75" customHeight="1" x14ac:dyDescent="0.2">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spans="1:26" ht="15.75" customHeight="1" x14ac:dyDescent="0.2">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spans="1:26" ht="15.75" customHeight="1" x14ac:dyDescent="0.2">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spans="1:26" ht="15.75" customHeight="1" x14ac:dyDescent="0.2">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spans="1:26" ht="15.75" customHeight="1" x14ac:dyDescent="0.2">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spans="1:26" ht="15.75" customHeight="1" x14ac:dyDescent="0.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spans="1:26" ht="15.75" customHeight="1" x14ac:dyDescent="0.2">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spans="1:26" ht="15.75" customHeight="1" x14ac:dyDescent="0.2">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spans="1:26" ht="15.75" customHeight="1" x14ac:dyDescent="0.2">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spans="1:26" ht="15.75" customHeight="1" x14ac:dyDescent="0.2">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spans="1:26" ht="15.75" customHeight="1" x14ac:dyDescent="0.2">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spans="1:26" ht="15.75" customHeight="1" x14ac:dyDescent="0.2">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spans="1:26" ht="15.75" customHeight="1" x14ac:dyDescent="0.2">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spans="1:26" ht="15.75" customHeight="1" x14ac:dyDescent="0.2">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spans="1:26" ht="15.75" customHeight="1" x14ac:dyDescent="0.2">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spans="1:26" ht="15.75" customHeight="1" x14ac:dyDescent="0.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spans="1:26" ht="15.75" customHeight="1" x14ac:dyDescent="0.2">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spans="1:26" ht="15.75" customHeight="1" x14ac:dyDescent="0.2">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spans="1:26" ht="15.75" customHeight="1" x14ac:dyDescent="0.2">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spans="1:26" ht="15.75" customHeight="1" x14ac:dyDescent="0.2">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spans="1:26" ht="15.75" customHeight="1" x14ac:dyDescent="0.2">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spans="1:26" ht="15.75" customHeight="1" x14ac:dyDescent="0.2">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spans="1:26" ht="15.75" customHeight="1" x14ac:dyDescent="0.2">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spans="1:26" ht="15.75" customHeight="1" x14ac:dyDescent="0.2">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spans="1:26" ht="15.75" customHeight="1" x14ac:dyDescent="0.2">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spans="1:26" ht="15.75" customHeight="1" x14ac:dyDescent="0.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spans="1:26" ht="15.75" customHeight="1" x14ac:dyDescent="0.2">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spans="1:26" ht="15.75" customHeight="1" x14ac:dyDescent="0.2">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spans="1:26" ht="15.75" customHeight="1" x14ac:dyDescent="0.2">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spans="1:26" ht="15.75" customHeight="1" x14ac:dyDescent="0.2">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spans="1:26" ht="15.75" customHeight="1" x14ac:dyDescent="0.2">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spans="1:26" ht="15.75" customHeight="1" x14ac:dyDescent="0.2">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spans="1:26" ht="15.75" customHeight="1" x14ac:dyDescent="0.2">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spans="1:26" ht="15.75" customHeight="1" x14ac:dyDescent="0.2">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spans="1:26" ht="15.75" customHeight="1" x14ac:dyDescent="0.2">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spans="1:26" ht="15.75" customHeight="1" x14ac:dyDescent="0.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spans="1:26" ht="15.75" customHeight="1" x14ac:dyDescent="0.2">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spans="1:26" ht="15.75" customHeight="1" x14ac:dyDescent="0.2">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spans="1:26" ht="15.75" customHeight="1" x14ac:dyDescent="0.2">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spans="1:26" ht="15.75" customHeight="1" x14ac:dyDescent="0.2">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spans="1:26" ht="15.75" customHeight="1" x14ac:dyDescent="0.2">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spans="1:26" ht="15.75" customHeight="1" x14ac:dyDescent="0.2">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spans="1:26" ht="15.75" customHeight="1" x14ac:dyDescent="0.2">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spans="1:26" ht="15.75" customHeight="1" x14ac:dyDescent="0.2">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spans="1:26" ht="15.75" customHeight="1" x14ac:dyDescent="0.2">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spans="1:26" ht="15.75" customHeight="1" x14ac:dyDescent="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spans="1:26" ht="15.75" customHeight="1" x14ac:dyDescent="0.2">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spans="1:26" ht="15.75" customHeight="1" x14ac:dyDescent="0.2">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spans="1:26" ht="15.75" customHeight="1" x14ac:dyDescent="0.2">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spans="1:26" ht="15.75" customHeight="1" x14ac:dyDescent="0.2">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spans="1:26" ht="15.75" customHeight="1" x14ac:dyDescent="0.2">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spans="1:26" ht="15.75" customHeight="1" x14ac:dyDescent="0.2">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spans="1:26" ht="15.75" customHeight="1" x14ac:dyDescent="0.2">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spans="1:26" ht="15.75" customHeight="1" x14ac:dyDescent="0.2">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spans="1:26" ht="15.75" customHeight="1" x14ac:dyDescent="0.2">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spans="1:26" ht="15.75" customHeight="1" x14ac:dyDescent="0.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spans="1:26" ht="15.75" customHeight="1" x14ac:dyDescent="0.2">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spans="1:26" ht="15.75" customHeight="1" x14ac:dyDescent="0.2">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spans="1:26" ht="15.75" customHeight="1" x14ac:dyDescent="0.2">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spans="1:26" ht="15.75" customHeight="1" x14ac:dyDescent="0.2">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spans="1:26" ht="15.75" customHeight="1" x14ac:dyDescent="0.2">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spans="1:26" ht="15.75" customHeight="1" x14ac:dyDescent="0.2">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spans="1:26" ht="15.75" customHeight="1" x14ac:dyDescent="0.2">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spans="1:26" ht="15.75" customHeight="1" x14ac:dyDescent="0.2">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spans="1:26" ht="15.75" customHeight="1" x14ac:dyDescent="0.2">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spans="1:26" ht="15.75" customHeight="1" x14ac:dyDescent="0.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spans="1:26" ht="15.75" customHeight="1" x14ac:dyDescent="0.2">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spans="1:26" ht="15.75" customHeight="1" x14ac:dyDescent="0.2">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spans="1:26" ht="15.75" customHeight="1" x14ac:dyDescent="0.2">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spans="1:26" ht="15.75" customHeight="1" x14ac:dyDescent="0.2">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spans="1:26" ht="15.75" customHeight="1" x14ac:dyDescent="0.2">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spans="1:26" ht="15.75" customHeight="1" x14ac:dyDescent="0.2">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spans="1:26" ht="15.75" customHeight="1" x14ac:dyDescent="0.2">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spans="1:26" ht="15.75" customHeight="1" x14ac:dyDescent="0.2">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spans="1:26" ht="15.75" customHeight="1" x14ac:dyDescent="0.2">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spans="1:26" ht="15.75" customHeight="1" x14ac:dyDescent="0.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spans="1:26" ht="15.75" customHeight="1" x14ac:dyDescent="0.2">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spans="1:26" ht="15.75" customHeight="1" x14ac:dyDescent="0.2">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spans="1:26" ht="15.75" customHeight="1" x14ac:dyDescent="0.2">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spans="1:26" ht="15.75" customHeight="1" x14ac:dyDescent="0.2">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spans="1:26" ht="15.75" customHeight="1" x14ac:dyDescent="0.2">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spans="1:26" ht="15.75" customHeight="1" x14ac:dyDescent="0.2">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spans="1:26" ht="15.75" customHeight="1" x14ac:dyDescent="0.2">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spans="1:26" ht="15.75" customHeight="1" x14ac:dyDescent="0.2">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spans="1:26" ht="15.75" customHeight="1" x14ac:dyDescent="0.2">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spans="1:26" ht="15.75" customHeight="1" x14ac:dyDescent="0.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spans="1:26" ht="15.75" customHeight="1" x14ac:dyDescent="0.2">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spans="1:26" ht="15.75" customHeight="1" x14ac:dyDescent="0.2">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spans="1:26" ht="15.75" customHeight="1" x14ac:dyDescent="0.2">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spans="1:26" ht="15.75" customHeight="1" x14ac:dyDescent="0.2">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spans="1:26" ht="15.75" customHeight="1" x14ac:dyDescent="0.2">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spans="1:26" ht="15.75" customHeight="1" x14ac:dyDescent="0.2">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spans="1:26" ht="15.75" customHeight="1" x14ac:dyDescent="0.2">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spans="1:26" ht="15.75" customHeight="1" x14ac:dyDescent="0.2">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spans="1:26" ht="15.75" customHeight="1" x14ac:dyDescent="0.2">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spans="1:26" ht="15.75" customHeight="1" x14ac:dyDescent="0.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spans="1:26" ht="15.75" customHeight="1" x14ac:dyDescent="0.2">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spans="1:26" ht="15.75" customHeight="1" x14ac:dyDescent="0.2">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spans="1:26" ht="15.75" customHeight="1" x14ac:dyDescent="0.2">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spans="1:26" ht="15.75" customHeight="1" x14ac:dyDescent="0.2">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spans="1:26" ht="15.75" customHeight="1" x14ac:dyDescent="0.2">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spans="1:26" ht="15.75" customHeight="1" x14ac:dyDescent="0.2">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spans="1:26" ht="15.75" customHeight="1" x14ac:dyDescent="0.2">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spans="1:26" ht="15.75" customHeight="1" x14ac:dyDescent="0.2">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spans="1:26" ht="15.75" customHeight="1" x14ac:dyDescent="0.2">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spans="1:26" ht="15.75" customHeight="1" x14ac:dyDescent="0.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spans="1:26" ht="15.75" customHeight="1" x14ac:dyDescent="0.2">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spans="1:26" ht="15.75" customHeight="1" x14ac:dyDescent="0.2">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spans="1:26" ht="15.75" customHeight="1" x14ac:dyDescent="0.2">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spans="1:26" ht="15.75" customHeight="1" x14ac:dyDescent="0.2">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spans="1:26" ht="15.75" customHeight="1" x14ac:dyDescent="0.2">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spans="1:26" ht="15.75" customHeight="1" x14ac:dyDescent="0.2">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spans="1:26" ht="15.75" customHeight="1" x14ac:dyDescent="0.2">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spans="1:26" ht="15.75" customHeight="1" x14ac:dyDescent="0.2">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spans="1:26" ht="15.75" customHeight="1" x14ac:dyDescent="0.2">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spans="1:26" ht="15.75" customHeight="1" x14ac:dyDescent="0.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spans="1:26" ht="15.75" customHeight="1" x14ac:dyDescent="0.2">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spans="1:26" ht="15.75" customHeight="1" x14ac:dyDescent="0.2">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spans="1:26" ht="15.75" customHeight="1" x14ac:dyDescent="0.2">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spans="1:26" ht="15.75" customHeight="1" x14ac:dyDescent="0.2">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spans="1:26" ht="15.75" customHeight="1" x14ac:dyDescent="0.2">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spans="1:26" ht="15.75" customHeight="1" x14ac:dyDescent="0.2">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spans="1:26" ht="15.75" customHeight="1" x14ac:dyDescent="0.2">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spans="1:26" ht="15.75" customHeight="1" x14ac:dyDescent="0.2">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spans="1:26" ht="15.75" customHeight="1" x14ac:dyDescent="0.2">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spans="1:26" ht="15.75" customHeight="1" x14ac:dyDescent="0.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spans="1:26" ht="15.75" customHeight="1" x14ac:dyDescent="0.2">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spans="1:26" ht="15.75" customHeight="1" x14ac:dyDescent="0.2">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spans="1:26" ht="15.75" customHeight="1" x14ac:dyDescent="0.2">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spans="1:26" ht="15.75" customHeight="1" x14ac:dyDescent="0.2">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spans="1:26" ht="15.75" customHeight="1" x14ac:dyDescent="0.2">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spans="1:26" ht="15.75" customHeight="1" x14ac:dyDescent="0.2">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spans="1:26" ht="15.75" customHeight="1" x14ac:dyDescent="0.2">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spans="1:26" ht="15.75" customHeight="1" x14ac:dyDescent="0.2">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spans="1:26" ht="15.75" customHeight="1" x14ac:dyDescent="0.2">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spans="1:26" ht="15.75" customHeight="1" x14ac:dyDescent="0.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spans="1:26" ht="15.75" customHeight="1" x14ac:dyDescent="0.2">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spans="1:26" ht="15.75" customHeight="1" x14ac:dyDescent="0.2">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spans="1:26" ht="15.75" customHeight="1" x14ac:dyDescent="0.2">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spans="1:26" ht="15.75" customHeight="1" x14ac:dyDescent="0.2">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spans="1:26" ht="15.75" customHeight="1" x14ac:dyDescent="0.2">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spans="1:26" ht="15.75" customHeight="1" x14ac:dyDescent="0.2">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spans="1:26" ht="15.75" customHeight="1" x14ac:dyDescent="0.2">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spans="1:26" ht="15.75" customHeight="1" x14ac:dyDescent="0.2">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spans="1:26" ht="15.75" customHeight="1" x14ac:dyDescent="0.2">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spans="1:26" ht="15.75" customHeight="1" x14ac:dyDescent="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spans="1:26" ht="15.75" customHeight="1" x14ac:dyDescent="0.2">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spans="1:26" ht="15.75" customHeight="1" x14ac:dyDescent="0.2">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spans="1:26" ht="15.75" customHeight="1" x14ac:dyDescent="0.2">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spans="1:26" ht="15.75" customHeight="1" x14ac:dyDescent="0.2">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spans="1:26" ht="15.75" customHeight="1" x14ac:dyDescent="0.2">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spans="1:26" ht="15.75" customHeight="1" x14ac:dyDescent="0.2">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spans="1:26" ht="15.75" customHeight="1" x14ac:dyDescent="0.2">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spans="1:26" ht="15.75" customHeight="1" x14ac:dyDescent="0.2">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spans="1:26" ht="15.75" customHeight="1" x14ac:dyDescent="0.2">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spans="1:26" ht="15.75" customHeight="1" x14ac:dyDescent="0.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spans="1:26" ht="15.75" customHeight="1" x14ac:dyDescent="0.2">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spans="1:26" ht="15.75" customHeight="1" x14ac:dyDescent="0.2">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spans="1:26" ht="15.75" customHeight="1" x14ac:dyDescent="0.2">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spans="1:26" ht="15.75" customHeight="1" x14ac:dyDescent="0.2">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spans="1:26" ht="15.75" customHeight="1" x14ac:dyDescent="0.2">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spans="1:26" ht="15.75" customHeight="1" x14ac:dyDescent="0.2">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spans="1:26" ht="15.75" customHeight="1" x14ac:dyDescent="0.2">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spans="1:26" ht="15.75" customHeight="1" x14ac:dyDescent="0.2">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spans="1:26" ht="15.75" customHeight="1" x14ac:dyDescent="0.2">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spans="1:26" ht="15.75" customHeight="1" x14ac:dyDescent="0.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spans="1:26" ht="15.75" customHeight="1" x14ac:dyDescent="0.2">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spans="1:26" ht="15.75" customHeight="1" x14ac:dyDescent="0.2">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spans="1:26" ht="15.75" customHeight="1" x14ac:dyDescent="0.2">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spans="1:26" ht="15.75" customHeight="1" x14ac:dyDescent="0.2">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spans="1:26" ht="15.75" customHeight="1" x14ac:dyDescent="0.2">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spans="1:26" ht="15.75" customHeight="1" x14ac:dyDescent="0.2">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spans="1:26" ht="15.75" customHeight="1" x14ac:dyDescent="0.2">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spans="1:26" ht="15.75" customHeight="1" x14ac:dyDescent="0.2">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spans="1:26" ht="15.75" customHeight="1" x14ac:dyDescent="0.2">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spans="1:26" ht="15.75" customHeight="1" x14ac:dyDescent="0.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spans="1:26" ht="15.75" customHeight="1" x14ac:dyDescent="0.2">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spans="1:26" ht="15.75" customHeight="1" x14ac:dyDescent="0.2">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spans="1:26" ht="15.75" customHeight="1" x14ac:dyDescent="0.2">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spans="1:26" ht="15.75" customHeight="1" x14ac:dyDescent="0.2">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spans="1:26" ht="15.75" customHeight="1" x14ac:dyDescent="0.2">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spans="1:26" ht="15.75" customHeight="1" x14ac:dyDescent="0.2">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spans="1:26" ht="15.75" customHeight="1" x14ac:dyDescent="0.2">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spans="1:26" ht="15.75" customHeight="1" x14ac:dyDescent="0.2">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spans="1:26" ht="15.75" customHeight="1" x14ac:dyDescent="0.2">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spans="1:26" ht="15.75" customHeight="1" x14ac:dyDescent="0.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spans="1:26" ht="15.75" customHeight="1" x14ac:dyDescent="0.2">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spans="1:26" ht="15.75" customHeight="1" x14ac:dyDescent="0.2">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spans="1:26" ht="15.75" customHeight="1" x14ac:dyDescent="0.2">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spans="1:26" ht="15.75" customHeight="1" x14ac:dyDescent="0.2">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spans="1:26" ht="15.75" customHeight="1" x14ac:dyDescent="0.2">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spans="1:26" ht="15.75" customHeight="1" x14ac:dyDescent="0.2">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spans="1:26" ht="15.75" customHeight="1" x14ac:dyDescent="0.2">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spans="1:26" ht="15.75" customHeight="1" x14ac:dyDescent="0.2">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spans="1:26" ht="15.75" customHeight="1" x14ac:dyDescent="0.2">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spans="1:26" ht="15.75" customHeight="1" x14ac:dyDescent="0.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spans="1:26" ht="15.75" customHeight="1" x14ac:dyDescent="0.2">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spans="1:26" ht="15.75" customHeight="1" x14ac:dyDescent="0.2">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spans="1:26" ht="15.75" customHeight="1" x14ac:dyDescent="0.2">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spans="1:26" ht="15.75" customHeight="1" x14ac:dyDescent="0.2">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spans="1:26" ht="15.75" customHeight="1" x14ac:dyDescent="0.2">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spans="1:26" ht="15.75" customHeight="1" x14ac:dyDescent="0.2">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spans="1:26" ht="15.75" customHeight="1" x14ac:dyDescent="0.2">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spans="1:26" ht="15.75" customHeight="1" x14ac:dyDescent="0.2">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spans="1:26" ht="15.75" customHeight="1" x14ac:dyDescent="0.2">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spans="1:26" ht="15.75" customHeight="1" x14ac:dyDescent="0.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spans="1:26" ht="15.75" customHeight="1" x14ac:dyDescent="0.2">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spans="1:26" ht="15.75" customHeight="1" x14ac:dyDescent="0.2">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spans="1:26" ht="15.75" customHeight="1" x14ac:dyDescent="0.2">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spans="1:26" ht="15.75" customHeight="1" x14ac:dyDescent="0.2">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spans="1:26" ht="15.75" customHeight="1" x14ac:dyDescent="0.2">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spans="1:26" ht="15.75" customHeight="1" x14ac:dyDescent="0.2">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spans="1:26" ht="15.75" customHeight="1" x14ac:dyDescent="0.2">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spans="1:26" ht="15.75" customHeight="1" x14ac:dyDescent="0.2">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spans="1:26" ht="15.75" customHeight="1" x14ac:dyDescent="0.2">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spans="1:26" ht="15.75" customHeight="1" x14ac:dyDescent="0.2">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spans="1:26" ht="15.75" customHeight="1" x14ac:dyDescent="0.2">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spans="1:26" ht="15.75" customHeight="1" x14ac:dyDescent="0.2">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spans="1:26" ht="15.75" customHeight="1" x14ac:dyDescent="0.2">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spans="1:26" ht="15.75" customHeight="1" x14ac:dyDescent="0.2">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spans="1:26" ht="15.75" customHeight="1" x14ac:dyDescent="0.2">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spans="1:26" ht="15.75" customHeight="1" x14ac:dyDescent="0.2">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spans="1:26" ht="15.75" customHeight="1" x14ac:dyDescent="0.2">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spans="1:26" ht="15.75" customHeight="1" x14ac:dyDescent="0.2">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spans="1:26" ht="15.75" customHeight="1" x14ac:dyDescent="0.2">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spans="1:26" ht="15.75" customHeight="1" x14ac:dyDescent="0.2">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spans="1:26" ht="15.75" customHeight="1" x14ac:dyDescent="0.2">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spans="1:26" ht="15.75" customHeight="1" x14ac:dyDescent="0.2">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spans="1:26" ht="15.75" customHeight="1" x14ac:dyDescent="0.2">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spans="1:26" ht="15.75" customHeight="1" x14ac:dyDescent="0.2">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spans="1:26" ht="15.75" customHeight="1" x14ac:dyDescent="0.2">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spans="1:26" ht="15.75" customHeight="1" x14ac:dyDescent="0.2">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spans="1:26" ht="15.75" customHeight="1" x14ac:dyDescent="0.2">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spans="1:26" ht="15.75" customHeight="1" x14ac:dyDescent="0.2">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spans="1:26" ht="15.75" customHeight="1" x14ac:dyDescent="0.2">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spans="1:26" ht="15.75" customHeight="1" x14ac:dyDescent="0.2">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spans="1:26" ht="15.75" customHeight="1" x14ac:dyDescent="0.2">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spans="1:26" ht="15.75" customHeight="1" x14ac:dyDescent="0.2">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spans="1:26" ht="15.75" customHeight="1" x14ac:dyDescent="0.2">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spans="1:26" ht="15.75" customHeight="1" x14ac:dyDescent="0.2">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spans="1:26" ht="15.75" customHeight="1" x14ac:dyDescent="0.2">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spans="1:26" ht="15.75" customHeight="1" x14ac:dyDescent="0.2">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spans="1:26" ht="15.75" customHeight="1" x14ac:dyDescent="0.2">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spans="1:26" ht="15.75" customHeight="1" x14ac:dyDescent="0.2">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row r="1001" spans="1:26" ht="15.75" customHeight="1" x14ac:dyDescent="0.2">
      <c r="A1001" s="57"/>
      <c r="B1001" s="57"/>
      <c r="C1001" s="57"/>
      <c r="D1001" s="57"/>
      <c r="E1001" s="57"/>
      <c r="F1001" s="57"/>
      <c r="G1001" s="57"/>
      <c r="H1001" s="57"/>
      <c r="I1001" s="57"/>
      <c r="J1001" s="57"/>
      <c r="K1001" s="57"/>
      <c r="L1001" s="57"/>
      <c r="M1001" s="57"/>
      <c r="N1001" s="57"/>
      <c r="O1001" s="57"/>
      <c r="P1001" s="57"/>
      <c r="Q1001" s="57"/>
      <c r="R1001" s="57"/>
      <c r="S1001" s="57"/>
      <c r="T1001" s="57"/>
      <c r="U1001" s="57"/>
      <c r="V1001" s="57"/>
      <c r="W1001" s="57"/>
      <c r="X1001" s="57"/>
      <c r="Y1001" s="57"/>
      <c r="Z1001" s="57"/>
    </row>
    <row r="1002" spans="1:26" ht="15.75" customHeight="1" x14ac:dyDescent="0.2">
      <c r="A1002" s="57"/>
      <c r="B1002" s="57"/>
      <c r="C1002" s="57"/>
      <c r="D1002" s="57"/>
      <c r="E1002" s="57"/>
      <c r="F1002" s="57"/>
      <c r="G1002" s="57"/>
      <c r="H1002" s="57"/>
      <c r="I1002" s="57"/>
      <c r="J1002" s="57"/>
      <c r="K1002" s="57"/>
      <c r="L1002" s="57"/>
      <c r="M1002" s="57"/>
      <c r="N1002" s="57"/>
      <c r="O1002" s="57"/>
      <c r="P1002" s="57"/>
      <c r="Q1002" s="57"/>
      <c r="R1002" s="57"/>
      <c r="S1002" s="57"/>
      <c r="T1002" s="57"/>
      <c r="U1002" s="57"/>
      <c r="V1002" s="57"/>
      <c r="W1002" s="57"/>
      <c r="X1002" s="57"/>
      <c r="Y1002" s="57"/>
      <c r="Z1002" s="57"/>
    </row>
    <row r="1003" spans="1:26" ht="15.75" customHeight="1" x14ac:dyDescent="0.2">
      <c r="A1003" s="57"/>
      <c r="B1003" s="57"/>
      <c r="C1003" s="57"/>
      <c r="D1003" s="57"/>
      <c r="E1003" s="57"/>
      <c r="F1003" s="57"/>
      <c r="G1003" s="57"/>
      <c r="H1003" s="57"/>
      <c r="I1003" s="57"/>
      <c r="J1003" s="57"/>
      <c r="K1003" s="57"/>
      <c r="L1003" s="57"/>
      <c r="M1003" s="57"/>
      <c r="N1003" s="57"/>
      <c r="O1003" s="57"/>
      <c r="P1003" s="57"/>
      <c r="Q1003" s="57"/>
      <c r="R1003" s="57"/>
      <c r="S1003" s="57"/>
      <c r="T1003" s="57"/>
      <c r="U1003" s="57"/>
      <c r="V1003" s="57"/>
      <c r="W1003" s="57"/>
      <c r="X1003" s="57"/>
      <c r="Y1003" s="57"/>
      <c r="Z1003" s="57"/>
    </row>
    <row r="1004" spans="1:26" ht="15.75" customHeight="1" x14ac:dyDescent="0.2">
      <c r="A1004" s="57"/>
      <c r="B1004" s="57"/>
      <c r="C1004" s="57"/>
      <c r="D1004" s="57"/>
      <c r="E1004" s="57"/>
      <c r="F1004" s="57"/>
      <c r="G1004" s="57"/>
      <c r="H1004" s="57"/>
      <c r="I1004" s="57"/>
      <c r="J1004" s="57"/>
      <c r="K1004" s="57"/>
      <c r="L1004" s="57"/>
      <c r="M1004" s="57"/>
      <c r="N1004" s="57"/>
      <c r="O1004" s="57"/>
      <c r="P1004" s="57"/>
      <c r="Q1004" s="57"/>
      <c r="R1004" s="57"/>
      <c r="S1004" s="57"/>
      <c r="T1004" s="57"/>
      <c r="U1004" s="57"/>
      <c r="V1004" s="57"/>
      <c r="W1004" s="57"/>
      <c r="X1004" s="57"/>
      <c r="Y1004" s="57"/>
      <c r="Z1004" s="57"/>
    </row>
    <row r="1005" spans="1:26" ht="15.75" customHeight="1" x14ac:dyDescent="0.2">
      <c r="A1005" s="57"/>
      <c r="B1005" s="57"/>
      <c r="C1005" s="57"/>
      <c r="D1005" s="57"/>
      <c r="E1005" s="57"/>
      <c r="F1005" s="57"/>
      <c r="G1005" s="57"/>
      <c r="H1005" s="57"/>
      <c r="I1005" s="57"/>
      <c r="J1005" s="57"/>
      <c r="K1005" s="57"/>
      <c r="L1005" s="57"/>
      <c r="M1005" s="57"/>
      <c r="N1005" s="57"/>
      <c r="O1005" s="57"/>
      <c r="P1005" s="57"/>
      <c r="Q1005" s="57"/>
      <c r="R1005" s="57"/>
      <c r="S1005" s="57"/>
      <c r="T1005" s="57"/>
      <c r="U1005" s="57"/>
      <c r="V1005" s="57"/>
      <c r="W1005" s="57"/>
      <c r="X1005" s="57"/>
      <c r="Y1005" s="57"/>
      <c r="Z1005" s="57"/>
    </row>
  </sheetData>
  <mergeCells count="20">
    <mergeCell ref="V1:V2"/>
    <mergeCell ref="W1:W2"/>
    <mergeCell ref="X1:Y1"/>
    <mergeCell ref="H1:H2"/>
    <mergeCell ref="I1:I2"/>
    <mergeCell ref="J1:J2"/>
    <mergeCell ref="K1:K2"/>
    <mergeCell ref="L1:L2"/>
    <mergeCell ref="N1:N2"/>
    <mergeCell ref="Q1:Q2"/>
    <mergeCell ref="F1:F2"/>
    <mergeCell ref="G1:G2"/>
    <mergeCell ref="O1:P1"/>
    <mergeCell ref="R1:T1"/>
    <mergeCell ref="U1:U2"/>
    <mergeCell ref="A1:A2"/>
    <mergeCell ref="B1:B2"/>
    <mergeCell ref="C1:C2"/>
    <mergeCell ref="D1:D2"/>
    <mergeCell ref="E1:E2"/>
  </mergeCells>
  <pageMargins left="0.7" right="0.7" top="0.75" bottom="0.75" header="0.3" footer="0.3"/>
  <pageSetup orientation="portrait"/>
  <headerFooter>
    <oddHeader>&amp;L&amp;C&amp;R</oddHeader>
    <oddFooter>&amp;L&amp;C&amp;R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69F78-8F52-6948-E30E-1530ECE91518}">
  <sheetPr>
    <outlinePr summaryBelow="0" summaryRight="0"/>
  </sheetPr>
  <dimension ref="A1:Z1000"/>
  <sheetViews>
    <sheetView showGridLines="0" workbookViewId="0">
      <pane xSplit="1" ySplit="2" topLeftCell="B3" activePane="bottomRight" state="frozen"/>
      <selection pane="topRight" activeCell="B1" sqref="B1"/>
      <selection pane="bottomLeft" activeCell="A3" sqref="A3"/>
      <selection pane="bottomRight" sqref="A1:A2"/>
    </sheetView>
  </sheetViews>
  <sheetFormatPr defaultColWidth="12.5703125" defaultRowHeight="15.75" customHeight="1" x14ac:dyDescent="0.2"/>
  <cols>
    <col min="1" max="1" width="11.140625" customWidth="1"/>
    <col min="2" max="2" width="8" customWidth="1"/>
    <col min="3" max="3" width="64.7109375" customWidth="1"/>
    <col min="4" max="4" width="33.85546875" customWidth="1"/>
    <col min="5" max="5" width="45.7109375" customWidth="1"/>
    <col min="6" max="6" width="128.42578125" customWidth="1"/>
    <col min="7" max="7" width="64" customWidth="1"/>
    <col min="8" max="8" width="30.28515625" customWidth="1"/>
    <col min="9" max="9" width="34.7109375" customWidth="1"/>
    <col min="10" max="10" width="58.42578125" customWidth="1"/>
    <col min="11" max="11" width="43" customWidth="1"/>
    <col min="12" max="12" width="50.7109375" customWidth="1"/>
    <col min="14" max="14" width="14.140625" customWidth="1"/>
    <col min="15" max="15" width="16.28515625" customWidth="1"/>
    <col min="16" max="16" width="12" customWidth="1"/>
    <col min="17" max="17" width="71.28515625" customWidth="1"/>
    <col min="18" max="18" width="48.7109375" customWidth="1"/>
    <col min="19" max="19" width="12" customWidth="1"/>
    <col min="20" max="20" width="14.42578125" customWidth="1"/>
    <col min="21" max="21" width="54.28515625" customWidth="1"/>
    <col min="22" max="22" width="41.28515625" customWidth="1"/>
    <col min="23" max="23" width="19.5703125" customWidth="1"/>
    <col min="24" max="24" width="37.85546875" customWidth="1"/>
    <col min="25" max="25" width="11.140625" customWidth="1"/>
    <col min="26" max="26" width="114.42578125" customWidth="1"/>
  </cols>
  <sheetData>
    <row r="1" spans="1:26" ht="15.75" customHeight="1" x14ac:dyDescent="0.2">
      <c r="A1" s="84" t="s">
        <v>83</v>
      </c>
      <c r="B1" s="84" t="s">
        <v>18</v>
      </c>
      <c r="C1" s="84" t="s">
        <v>84</v>
      </c>
      <c r="D1" s="84" t="s">
        <v>85</v>
      </c>
      <c r="E1" s="84" t="s">
        <v>86</v>
      </c>
      <c r="F1" s="84" t="s">
        <v>87</v>
      </c>
      <c r="G1" s="84" t="s">
        <v>33</v>
      </c>
      <c r="H1" s="84" t="s">
        <v>36</v>
      </c>
      <c r="I1" s="84" t="s">
        <v>88</v>
      </c>
      <c r="J1" s="84" t="s">
        <v>89</v>
      </c>
      <c r="K1" s="84" t="s">
        <v>90</v>
      </c>
      <c r="L1" s="84" t="s">
        <v>91</v>
      </c>
      <c r="M1" s="20" t="s">
        <v>47</v>
      </c>
      <c r="N1" s="84" t="s">
        <v>92</v>
      </c>
      <c r="O1" s="90" t="s">
        <v>50</v>
      </c>
      <c r="P1" s="88"/>
      <c r="Q1" s="84" t="s">
        <v>93</v>
      </c>
      <c r="R1" s="90" t="s">
        <v>94</v>
      </c>
      <c r="S1" s="89"/>
      <c r="T1" s="88"/>
      <c r="U1" s="84" t="s">
        <v>95</v>
      </c>
      <c r="V1" s="84" t="s">
        <v>96</v>
      </c>
      <c r="W1" s="84" t="s">
        <v>53</v>
      </c>
      <c r="X1" s="90" t="s">
        <v>97</v>
      </c>
      <c r="Y1" s="88"/>
      <c r="Z1" s="20" t="s">
        <v>98</v>
      </c>
    </row>
    <row r="2" spans="1:26" ht="15.75" customHeight="1" x14ac:dyDescent="0.2">
      <c r="A2" s="85"/>
      <c r="B2" s="85"/>
      <c r="C2" s="85"/>
      <c r="D2" s="85"/>
      <c r="E2" s="85"/>
      <c r="F2" s="85"/>
      <c r="G2" s="85"/>
      <c r="H2" s="85"/>
      <c r="I2" s="85"/>
      <c r="J2" s="85"/>
      <c r="K2" s="85"/>
      <c r="L2" s="85"/>
      <c r="M2" s="20" t="s">
        <v>99</v>
      </c>
      <c r="N2" s="85"/>
      <c r="O2" s="20" t="s">
        <v>100</v>
      </c>
      <c r="P2" s="20" t="s">
        <v>18</v>
      </c>
      <c r="Q2" s="85"/>
      <c r="R2" s="20" t="s">
        <v>101</v>
      </c>
      <c r="S2" s="20" t="s">
        <v>83</v>
      </c>
      <c r="T2" s="20" t="s">
        <v>102</v>
      </c>
      <c r="U2" s="85"/>
      <c r="V2" s="85"/>
      <c r="W2" s="85"/>
      <c r="X2" s="20" t="s">
        <v>101</v>
      </c>
      <c r="Y2" s="20" t="s">
        <v>83</v>
      </c>
      <c r="Z2" s="20"/>
    </row>
    <row r="3" spans="1:26" ht="15.75" customHeight="1" x14ac:dyDescent="0.2">
      <c r="A3" s="13" t="s">
        <v>664</v>
      </c>
      <c r="B3" s="38" t="s">
        <v>19</v>
      </c>
      <c r="C3" s="22" t="s">
        <v>715</v>
      </c>
      <c r="D3" s="33" t="s">
        <v>716</v>
      </c>
      <c r="E3" s="33" t="s">
        <v>571</v>
      </c>
      <c r="F3" s="22" t="s">
        <v>717</v>
      </c>
      <c r="G3" s="33" t="s">
        <v>718</v>
      </c>
      <c r="H3" s="33" t="s">
        <v>719</v>
      </c>
      <c r="I3" s="33" t="s">
        <v>720</v>
      </c>
      <c r="J3" s="33" t="s">
        <v>721</v>
      </c>
      <c r="K3" s="33" t="s">
        <v>722</v>
      </c>
      <c r="L3" s="33" t="s">
        <v>723</v>
      </c>
      <c r="M3" s="33" t="s">
        <v>576</v>
      </c>
      <c r="N3" s="33" t="s">
        <v>576</v>
      </c>
      <c r="O3" s="33" t="s">
        <v>576</v>
      </c>
      <c r="P3" s="33" t="s">
        <v>576</v>
      </c>
      <c r="Q3" s="33" t="s">
        <v>576</v>
      </c>
      <c r="R3" s="33" t="s">
        <v>576</v>
      </c>
      <c r="S3" s="33" t="s">
        <v>576</v>
      </c>
      <c r="T3" s="33" t="s">
        <v>576</v>
      </c>
      <c r="U3" s="33" t="s">
        <v>19</v>
      </c>
      <c r="V3" s="33" t="s">
        <v>19</v>
      </c>
      <c r="W3" s="33" t="s">
        <v>19</v>
      </c>
      <c r="X3" s="33" t="s">
        <v>724</v>
      </c>
      <c r="Y3" s="33" t="s">
        <v>19</v>
      </c>
      <c r="Z3" s="22" t="s">
        <v>725</v>
      </c>
    </row>
    <row r="4" spans="1:26" ht="15.75" customHeight="1" x14ac:dyDescent="0.2">
      <c r="A4" s="13" t="s">
        <v>592</v>
      </c>
      <c r="B4" s="38" t="s">
        <v>726</v>
      </c>
      <c r="C4" s="33" t="s">
        <v>569</v>
      </c>
      <c r="D4" s="33" t="s">
        <v>727</v>
      </c>
      <c r="E4" s="33" t="s">
        <v>571</v>
      </c>
      <c r="F4" s="22" t="s">
        <v>717</v>
      </c>
      <c r="G4" s="33" t="s">
        <v>718</v>
      </c>
      <c r="H4" s="33" t="s">
        <v>728</v>
      </c>
      <c r="I4" s="33" t="s">
        <v>729</v>
      </c>
      <c r="J4" s="33" t="s">
        <v>730</v>
      </c>
      <c r="K4" s="33" t="s">
        <v>722</v>
      </c>
      <c r="L4" s="33" t="s">
        <v>723</v>
      </c>
      <c r="M4" s="33" t="s">
        <v>576</v>
      </c>
      <c r="N4" s="33" t="s">
        <v>576</v>
      </c>
      <c r="O4" s="33" t="s">
        <v>576</v>
      </c>
      <c r="P4" s="33" t="s">
        <v>576</v>
      </c>
      <c r="Q4" s="33" t="s">
        <v>576</v>
      </c>
      <c r="R4" s="33" t="s">
        <v>576</v>
      </c>
      <c r="S4" s="33" t="s">
        <v>576</v>
      </c>
      <c r="T4" s="33" t="s">
        <v>576</v>
      </c>
      <c r="U4" s="33" t="s">
        <v>19</v>
      </c>
      <c r="V4" s="33" t="s">
        <v>19</v>
      </c>
      <c r="W4" s="33" t="s">
        <v>19</v>
      </c>
      <c r="X4" s="33" t="s">
        <v>731</v>
      </c>
      <c r="Y4" s="33" t="s">
        <v>19</v>
      </c>
      <c r="Z4" s="22" t="s">
        <v>597</v>
      </c>
    </row>
    <row r="5" spans="1:26" ht="15.75" customHeight="1" x14ac:dyDescent="0.2">
      <c r="A5" s="58"/>
      <c r="B5" s="58"/>
      <c r="C5" s="58"/>
      <c r="D5" s="58"/>
      <c r="E5" s="58"/>
      <c r="F5" s="58"/>
      <c r="G5" s="58"/>
      <c r="H5" s="58"/>
      <c r="I5" s="58"/>
      <c r="J5" s="58"/>
      <c r="K5" s="58"/>
      <c r="L5" s="58"/>
      <c r="M5" s="58"/>
      <c r="N5" s="58"/>
      <c r="O5" s="58"/>
      <c r="P5" s="58"/>
      <c r="Q5" s="58"/>
      <c r="R5" s="58"/>
      <c r="S5" s="58"/>
      <c r="T5" s="58"/>
      <c r="U5" s="58"/>
      <c r="V5" s="58"/>
      <c r="W5" s="58"/>
      <c r="X5" s="58"/>
      <c r="Y5" s="58"/>
      <c r="Z5" s="58"/>
    </row>
    <row r="6" spans="1:26" ht="15.75" customHeight="1" x14ac:dyDescent="0.2">
      <c r="A6" s="58"/>
      <c r="B6" s="58"/>
      <c r="C6" s="58"/>
      <c r="D6" s="58"/>
      <c r="E6" s="58"/>
      <c r="F6" s="58"/>
      <c r="G6" s="58"/>
      <c r="H6" s="58"/>
      <c r="I6" s="58"/>
      <c r="J6" s="58"/>
      <c r="K6" s="58"/>
      <c r="L6" s="58"/>
      <c r="M6" s="58"/>
      <c r="N6" s="58"/>
      <c r="O6" s="58"/>
      <c r="P6" s="58"/>
      <c r="Q6" s="58"/>
      <c r="R6" s="58"/>
      <c r="S6" s="58"/>
      <c r="T6" s="58"/>
      <c r="U6" s="58"/>
      <c r="V6" s="58"/>
      <c r="W6" s="58"/>
      <c r="X6" s="58"/>
      <c r="Y6" s="58"/>
      <c r="Z6" s="58"/>
    </row>
    <row r="7" spans="1:26" ht="15.75" customHeight="1" x14ac:dyDescent="0.2">
      <c r="A7" s="58"/>
      <c r="B7" s="58"/>
      <c r="C7" s="58"/>
      <c r="D7" s="58"/>
      <c r="E7" s="58"/>
      <c r="F7" s="58"/>
      <c r="G7" s="58"/>
      <c r="H7" s="58"/>
      <c r="I7" s="58"/>
      <c r="J7" s="58"/>
      <c r="K7" s="58"/>
      <c r="L7" s="58"/>
      <c r="M7" s="58"/>
      <c r="N7" s="58"/>
      <c r="O7" s="58"/>
      <c r="P7" s="58"/>
      <c r="Q7" s="58"/>
      <c r="R7" s="58"/>
      <c r="S7" s="58"/>
      <c r="T7" s="58"/>
      <c r="U7" s="58"/>
      <c r="V7" s="58"/>
      <c r="W7" s="58"/>
      <c r="X7" s="58"/>
      <c r="Y7" s="58"/>
      <c r="Z7" s="58"/>
    </row>
    <row r="8" spans="1:26" ht="15.75" customHeight="1" x14ac:dyDescent="0.2">
      <c r="A8" s="58"/>
      <c r="B8" s="58"/>
      <c r="C8" s="58"/>
      <c r="D8" s="58"/>
      <c r="E8" s="58"/>
      <c r="F8" s="58"/>
      <c r="G8" s="58"/>
      <c r="H8" s="58"/>
      <c r="I8" s="58"/>
      <c r="J8" s="58"/>
      <c r="K8" s="58"/>
      <c r="L8" s="58"/>
      <c r="M8" s="58"/>
      <c r="N8" s="58"/>
      <c r="O8" s="58"/>
      <c r="P8" s="58"/>
      <c r="Q8" s="58"/>
      <c r="R8" s="58"/>
      <c r="S8" s="58"/>
      <c r="T8" s="58"/>
      <c r="U8" s="58"/>
      <c r="V8" s="58"/>
      <c r="W8" s="58"/>
      <c r="X8" s="58"/>
      <c r="Y8" s="58"/>
      <c r="Z8" s="58"/>
    </row>
    <row r="9" spans="1:26" ht="15.75" customHeight="1" x14ac:dyDescent="0.2">
      <c r="A9" s="58"/>
      <c r="B9" s="58"/>
      <c r="C9" s="58"/>
      <c r="D9" s="58"/>
      <c r="E9" s="58"/>
      <c r="F9" s="58"/>
      <c r="G9" s="58"/>
      <c r="H9" s="58"/>
      <c r="I9" s="58"/>
      <c r="J9" s="58"/>
      <c r="K9" s="58"/>
      <c r="L9" s="58"/>
      <c r="M9" s="58"/>
      <c r="N9" s="58"/>
      <c r="O9" s="58"/>
      <c r="P9" s="58"/>
      <c r="Q9" s="58"/>
      <c r="R9" s="58"/>
      <c r="S9" s="58"/>
      <c r="T9" s="58"/>
      <c r="U9" s="58"/>
      <c r="V9" s="58"/>
      <c r="W9" s="58"/>
      <c r="X9" s="58"/>
      <c r="Y9" s="58"/>
      <c r="Z9" s="58"/>
    </row>
    <row r="10" spans="1:26" ht="15.75" customHeight="1" x14ac:dyDescent="0.2">
      <c r="A10" s="58"/>
      <c r="B10" s="58"/>
      <c r="C10" s="58"/>
      <c r="D10" s="58"/>
      <c r="E10" s="58"/>
      <c r="F10" s="58"/>
      <c r="G10" s="58"/>
      <c r="H10" s="58"/>
      <c r="I10" s="58"/>
      <c r="J10" s="58"/>
      <c r="K10" s="58"/>
      <c r="L10" s="58"/>
      <c r="M10" s="58"/>
      <c r="N10" s="58"/>
      <c r="O10" s="58"/>
      <c r="P10" s="58"/>
      <c r="Q10" s="58"/>
      <c r="R10" s="58"/>
      <c r="S10" s="58"/>
      <c r="T10" s="58"/>
      <c r="U10" s="58"/>
      <c r="V10" s="58"/>
      <c r="W10" s="58"/>
      <c r="X10" s="58"/>
      <c r="Y10" s="58"/>
      <c r="Z10" s="58"/>
    </row>
    <row r="11" spans="1:26" ht="15.75" customHeight="1" x14ac:dyDescent="0.2">
      <c r="A11" s="58"/>
      <c r="B11" s="58"/>
      <c r="C11" s="58"/>
      <c r="D11" s="58"/>
      <c r="E11" s="58"/>
      <c r="F11" s="58"/>
      <c r="G11" s="58"/>
      <c r="H11" s="58"/>
      <c r="I11" s="58"/>
      <c r="J11" s="58"/>
      <c r="K11" s="58"/>
      <c r="L11" s="58"/>
      <c r="M11" s="58"/>
      <c r="N11" s="58"/>
      <c r="O11" s="58"/>
      <c r="P11" s="58"/>
      <c r="Q11" s="58"/>
      <c r="R11" s="58"/>
      <c r="S11" s="58"/>
      <c r="T11" s="58"/>
      <c r="U11" s="58"/>
      <c r="V11" s="58"/>
      <c r="W11" s="58"/>
      <c r="X11" s="58"/>
      <c r="Y11" s="58"/>
      <c r="Z11" s="58"/>
    </row>
    <row r="12" spans="1:26" ht="15.75" customHeight="1" x14ac:dyDescent="0.2">
      <c r="A12" s="58"/>
      <c r="B12" s="58"/>
      <c r="C12" s="58"/>
      <c r="D12" s="58"/>
      <c r="E12" s="58"/>
      <c r="F12" s="58"/>
      <c r="G12" s="58"/>
      <c r="H12" s="58"/>
      <c r="I12" s="58"/>
      <c r="J12" s="58"/>
      <c r="K12" s="58"/>
      <c r="L12" s="58"/>
      <c r="M12" s="58"/>
      <c r="N12" s="58"/>
      <c r="O12" s="58"/>
      <c r="P12" s="58"/>
      <c r="Q12" s="58"/>
      <c r="R12" s="58"/>
      <c r="S12" s="58"/>
      <c r="T12" s="58"/>
      <c r="U12" s="58"/>
      <c r="V12" s="58"/>
      <c r="W12" s="58"/>
      <c r="X12" s="58"/>
      <c r="Y12" s="58"/>
      <c r="Z12" s="58"/>
    </row>
    <row r="13" spans="1:26" ht="15.75" customHeight="1" x14ac:dyDescent="0.2">
      <c r="A13" s="58"/>
      <c r="B13" s="58"/>
      <c r="C13" s="58"/>
      <c r="D13" s="58"/>
      <c r="E13" s="58"/>
      <c r="F13" s="58"/>
      <c r="G13" s="58"/>
      <c r="H13" s="58"/>
      <c r="I13" s="58"/>
      <c r="J13" s="58"/>
      <c r="K13" s="58"/>
      <c r="L13" s="58"/>
      <c r="M13" s="58"/>
      <c r="N13" s="58"/>
      <c r="O13" s="58"/>
      <c r="P13" s="58"/>
      <c r="Q13" s="58"/>
      <c r="R13" s="58"/>
      <c r="S13" s="58"/>
      <c r="T13" s="58"/>
      <c r="U13" s="58"/>
      <c r="V13" s="58"/>
      <c r="W13" s="58"/>
      <c r="X13" s="58"/>
      <c r="Y13" s="58"/>
      <c r="Z13" s="58"/>
    </row>
    <row r="14" spans="1:26" ht="15.75" customHeight="1" x14ac:dyDescent="0.2">
      <c r="A14" s="58"/>
      <c r="B14" s="58"/>
      <c r="C14" s="58"/>
      <c r="D14" s="58"/>
      <c r="E14" s="58"/>
      <c r="F14" s="58"/>
      <c r="G14" s="58"/>
      <c r="H14" s="58"/>
      <c r="I14" s="58"/>
      <c r="J14" s="58"/>
      <c r="K14" s="58"/>
      <c r="L14" s="58"/>
      <c r="M14" s="58"/>
      <c r="N14" s="58"/>
      <c r="O14" s="58"/>
      <c r="P14" s="58"/>
      <c r="Q14" s="58"/>
      <c r="R14" s="58"/>
      <c r="S14" s="58"/>
      <c r="T14" s="58"/>
      <c r="U14" s="58"/>
      <c r="V14" s="58"/>
      <c r="W14" s="58"/>
      <c r="X14" s="58"/>
      <c r="Y14" s="58"/>
      <c r="Z14" s="58"/>
    </row>
    <row r="15" spans="1:26" ht="15.75" customHeight="1" x14ac:dyDescent="0.2">
      <c r="A15" s="58"/>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spans="1:26" ht="15.75" customHeight="1" x14ac:dyDescent="0.2">
      <c r="A16" s="58"/>
      <c r="B16" s="58"/>
      <c r="C16" s="58"/>
      <c r="D16" s="58"/>
      <c r="E16" s="58"/>
      <c r="F16" s="58"/>
      <c r="G16" s="58"/>
      <c r="H16" s="58"/>
      <c r="I16" s="58"/>
      <c r="J16" s="58"/>
      <c r="K16" s="58"/>
      <c r="L16" s="58"/>
      <c r="M16" s="58"/>
      <c r="N16" s="58"/>
      <c r="O16" s="58"/>
      <c r="P16" s="58"/>
      <c r="Q16" s="58"/>
      <c r="R16" s="58"/>
      <c r="S16" s="58"/>
      <c r="T16" s="58"/>
      <c r="U16" s="58"/>
      <c r="V16" s="58"/>
      <c r="W16" s="58"/>
      <c r="X16" s="58"/>
      <c r="Y16" s="58"/>
      <c r="Z16" s="58"/>
    </row>
    <row r="17" spans="1:26" ht="15.75" customHeight="1" x14ac:dyDescent="0.2">
      <c r="A17" s="58"/>
      <c r="B17" s="58"/>
      <c r="C17" s="58"/>
      <c r="D17" s="58"/>
      <c r="E17" s="58"/>
      <c r="F17" s="58"/>
      <c r="G17" s="58"/>
      <c r="H17" s="58"/>
      <c r="I17" s="58"/>
      <c r="J17" s="58"/>
      <c r="K17" s="58"/>
      <c r="L17" s="58"/>
      <c r="M17" s="58"/>
      <c r="N17" s="58"/>
      <c r="O17" s="58"/>
      <c r="P17" s="58"/>
      <c r="Q17" s="58"/>
      <c r="R17" s="58"/>
      <c r="S17" s="58"/>
      <c r="T17" s="58"/>
      <c r="U17" s="58"/>
      <c r="V17" s="58"/>
      <c r="W17" s="58"/>
      <c r="X17" s="58"/>
      <c r="Y17" s="58"/>
      <c r="Z17" s="58"/>
    </row>
    <row r="18" spans="1:26" ht="15.75" customHeight="1" x14ac:dyDescent="0.2">
      <c r="A18" s="58"/>
      <c r="B18" s="58"/>
      <c r="C18" s="58"/>
      <c r="D18" s="58"/>
      <c r="E18" s="58"/>
      <c r="F18" s="58"/>
      <c r="G18" s="58"/>
      <c r="H18" s="58"/>
      <c r="I18" s="58"/>
      <c r="J18" s="58"/>
      <c r="K18" s="58"/>
      <c r="L18" s="58"/>
      <c r="M18" s="58"/>
      <c r="N18" s="58"/>
      <c r="O18" s="58"/>
      <c r="P18" s="58"/>
      <c r="Q18" s="58"/>
      <c r="R18" s="58"/>
      <c r="S18" s="58"/>
      <c r="T18" s="58"/>
      <c r="U18" s="58"/>
      <c r="V18" s="58"/>
      <c r="W18" s="58"/>
      <c r="X18" s="58"/>
      <c r="Y18" s="58"/>
      <c r="Z18" s="58"/>
    </row>
    <row r="19" spans="1:26" ht="15.75" customHeight="1" x14ac:dyDescent="0.2">
      <c r="A19" s="58"/>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spans="1:26" ht="15.75" customHeight="1" x14ac:dyDescent="0.2">
      <c r="A20" s="58"/>
      <c r="B20" s="58"/>
      <c r="C20" s="58"/>
      <c r="D20" s="58"/>
      <c r="E20" s="58"/>
      <c r="F20" s="58"/>
      <c r="G20" s="58"/>
      <c r="H20" s="58"/>
      <c r="I20" s="58"/>
      <c r="J20" s="58"/>
      <c r="K20" s="58"/>
      <c r="L20" s="58"/>
      <c r="M20" s="58"/>
      <c r="N20" s="58"/>
      <c r="O20" s="58"/>
      <c r="P20" s="58"/>
      <c r="Q20" s="58"/>
      <c r="R20" s="58"/>
      <c r="S20" s="58"/>
      <c r="T20" s="58"/>
      <c r="U20" s="58"/>
      <c r="V20" s="58"/>
      <c r="W20" s="58"/>
      <c r="X20" s="58"/>
      <c r="Y20" s="58"/>
      <c r="Z20" s="58"/>
    </row>
    <row r="21" spans="1:26" ht="15.75" customHeight="1" x14ac:dyDescent="0.2">
      <c r="A21" s="58"/>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row r="22" spans="1:26" ht="15.75" customHeight="1" x14ac:dyDescent="0.2">
      <c r="A22" s="58"/>
      <c r="B22" s="58"/>
      <c r="C22" s="58"/>
      <c r="D22" s="58"/>
      <c r="E22" s="58"/>
      <c r="F22" s="58"/>
      <c r="G22" s="58"/>
      <c r="H22" s="58"/>
      <c r="I22" s="58"/>
      <c r="J22" s="58"/>
      <c r="K22" s="58"/>
      <c r="L22" s="58"/>
      <c r="M22" s="58"/>
      <c r="N22" s="58"/>
      <c r="O22" s="58"/>
      <c r="P22" s="58"/>
      <c r="Q22" s="58"/>
      <c r="R22" s="58"/>
      <c r="S22" s="58"/>
      <c r="T22" s="58"/>
      <c r="U22" s="58"/>
      <c r="V22" s="58"/>
      <c r="W22" s="58"/>
      <c r="X22" s="58"/>
      <c r="Y22" s="58"/>
      <c r="Z22" s="58"/>
    </row>
    <row r="23" spans="1:26" ht="15.75" customHeight="1" x14ac:dyDescent="0.2">
      <c r="A23" s="58"/>
      <c r="B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spans="1:26" ht="15.75" customHeight="1" x14ac:dyDescent="0.2">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row>
    <row r="25" spans="1:26" ht="15.75" customHeight="1" x14ac:dyDescent="0.2">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row>
    <row r="26" spans="1:26" ht="15.75" customHeight="1" x14ac:dyDescent="0.2">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row>
    <row r="27" spans="1:26" ht="15.75" customHeight="1" x14ac:dyDescent="0.2">
      <c r="A27" s="58"/>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spans="1:26" ht="15.75" customHeight="1" x14ac:dyDescent="0.2">
      <c r="A28" s="58"/>
      <c r="B28" s="58"/>
      <c r="C28" s="58"/>
      <c r="D28" s="58"/>
      <c r="E28" s="58"/>
      <c r="F28" s="58"/>
      <c r="G28" s="58"/>
      <c r="H28" s="58"/>
      <c r="I28" s="58"/>
      <c r="J28" s="58"/>
      <c r="K28" s="58"/>
      <c r="L28" s="58"/>
      <c r="M28" s="58"/>
      <c r="N28" s="58"/>
      <c r="O28" s="58"/>
      <c r="P28" s="58"/>
      <c r="Q28" s="58"/>
      <c r="R28" s="58"/>
      <c r="S28" s="58"/>
      <c r="T28" s="58"/>
      <c r="U28" s="58"/>
      <c r="V28" s="58"/>
      <c r="W28" s="58"/>
      <c r="X28" s="58"/>
      <c r="Y28" s="58"/>
      <c r="Z28" s="58"/>
    </row>
    <row r="29" spans="1:26" ht="15.75" customHeight="1" x14ac:dyDescent="0.2">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spans="1:26" ht="15.75" customHeight="1" x14ac:dyDescent="0.2">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row>
    <row r="31" spans="1:26" ht="15.75" customHeight="1" x14ac:dyDescent="0.2">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spans="1:26" ht="15.75" customHeight="1" x14ac:dyDescent="0.2">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spans="1:26" ht="15.75" customHeight="1" x14ac:dyDescent="0.2">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spans="1:26" ht="15.75" customHeight="1" x14ac:dyDescent="0.2">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spans="1:26" ht="15.75" customHeight="1" x14ac:dyDescent="0.2">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spans="1:26" ht="15.75" customHeight="1" x14ac:dyDescent="0.2">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spans="1:26" ht="15.75" customHeight="1" x14ac:dyDescent="0.2">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spans="1:26" ht="15.75" customHeight="1" x14ac:dyDescent="0.2">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spans="1:26" ht="15.75" customHeight="1" x14ac:dyDescent="0.2">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spans="1:26" ht="15.75" customHeight="1" x14ac:dyDescent="0.2">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spans="1:26" ht="15.75" customHeight="1" x14ac:dyDescent="0.2">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spans="1:26" ht="15.75" customHeight="1" x14ac:dyDescent="0.2">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spans="1:26" ht="15.75" customHeight="1" x14ac:dyDescent="0.2">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spans="1:26" ht="15.75" customHeight="1" x14ac:dyDescent="0.2">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spans="1:26" ht="15.75" customHeight="1" x14ac:dyDescent="0.2">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spans="1:26" ht="15.75" customHeight="1" x14ac:dyDescent="0.2">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spans="1:26" ht="15.75" customHeight="1" x14ac:dyDescent="0.2">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spans="1:26" ht="15.75" customHeight="1" x14ac:dyDescent="0.2">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spans="1:26" ht="15.75" customHeight="1" x14ac:dyDescent="0.2">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spans="1:26" ht="15.75" customHeight="1" x14ac:dyDescent="0.2">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spans="1:26" ht="15.75" customHeight="1" x14ac:dyDescent="0.2">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spans="1:26" ht="15.75" customHeight="1" x14ac:dyDescent="0.2">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spans="1:26" ht="15.75" customHeight="1" x14ac:dyDescent="0.2">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spans="1:26" ht="15.75" customHeight="1" x14ac:dyDescent="0.2">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spans="1:26" ht="15.75" customHeight="1" x14ac:dyDescent="0.2">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spans="1:26" ht="15.75" customHeight="1" x14ac:dyDescent="0.2">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spans="1:26" ht="15.75" customHeight="1" x14ac:dyDescent="0.2">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spans="1:26" ht="15.75" customHeight="1" x14ac:dyDescent="0.2">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spans="1:26" ht="15.75" customHeight="1" x14ac:dyDescent="0.2">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spans="1:26" ht="15.75" customHeight="1" x14ac:dyDescent="0.2">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spans="1:26" ht="15.75" customHeight="1" x14ac:dyDescent="0.2">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spans="1:26" ht="15.75" customHeight="1" x14ac:dyDescent="0.2">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spans="1:26" ht="15.75" customHeight="1" x14ac:dyDescent="0.2">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spans="1:26" ht="15.75" customHeight="1" x14ac:dyDescent="0.2">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spans="1:26" ht="15.75" customHeight="1" x14ac:dyDescent="0.2">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spans="1:26" ht="15.75" customHeight="1" x14ac:dyDescent="0.2">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spans="1:26" ht="15.75" customHeight="1" x14ac:dyDescent="0.2">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spans="1:26" ht="15.75" customHeight="1" x14ac:dyDescent="0.2">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spans="1:26" ht="15.75" customHeight="1" x14ac:dyDescent="0.2">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spans="1:26" ht="15.75" customHeight="1" x14ac:dyDescent="0.2">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spans="1:26" ht="15.75" customHeight="1" x14ac:dyDescent="0.2">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spans="1:26" ht="15.75" customHeight="1" x14ac:dyDescent="0.2">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spans="1:26" ht="15.75" customHeight="1" x14ac:dyDescent="0.2">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spans="1:26" ht="15.75" customHeight="1" x14ac:dyDescent="0.2">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spans="1:26" ht="15.75" customHeight="1" x14ac:dyDescent="0.2">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spans="1:26" ht="15.75" customHeight="1" x14ac:dyDescent="0.2">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spans="1:26" ht="15.75" customHeight="1" x14ac:dyDescent="0.2">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spans="1:26" ht="15.75" customHeight="1" x14ac:dyDescent="0.2">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spans="1:26" ht="15.75" customHeight="1" x14ac:dyDescent="0.2">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spans="1:26" ht="15.75" customHeight="1" x14ac:dyDescent="0.2">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spans="1:26" ht="15.75" customHeight="1" x14ac:dyDescent="0.2">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spans="1:26" ht="15.75" customHeight="1" x14ac:dyDescent="0.2">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spans="1:26" ht="15.75" customHeight="1" x14ac:dyDescent="0.2">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spans="1:26" ht="15.75" customHeight="1" x14ac:dyDescent="0.2">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spans="1:26" ht="15.75" customHeight="1" x14ac:dyDescent="0.2">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spans="1:26" ht="15.75" customHeight="1" x14ac:dyDescent="0.2">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spans="1:26" ht="15.75" customHeight="1" x14ac:dyDescent="0.2">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spans="1:26" ht="15.75" customHeight="1" x14ac:dyDescent="0.2">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spans="1:26" ht="15.75" customHeight="1" x14ac:dyDescent="0.2">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spans="1:26" ht="15.75" customHeight="1" x14ac:dyDescent="0.2">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spans="1:26" ht="15.75" customHeight="1" x14ac:dyDescent="0.2">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spans="1:26" ht="15.75" customHeight="1" x14ac:dyDescent="0.2">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spans="1:26" ht="15.75" customHeight="1" x14ac:dyDescent="0.2">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spans="1:26" ht="15.75" customHeight="1" x14ac:dyDescent="0.2">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spans="1:26" ht="15.75" customHeight="1" x14ac:dyDescent="0.2">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spans="1:26" ht="15.75" customHeight="1" x14ac:dyDescent="0.2">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spans="1:26" ht="15.75" customHeight="1" x14ac:dyDescent="0.2">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spans="1:26" ht="15.75" customHeight="1" x14ac:dyDescent="0.2">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spans="1:26" ht="15.75" customHeight="1" x14ac:dyDescent="0.2">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spans="1:26" ht="15.75" customHeight="1" x14ac:dyDescent="0.2">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spans="1:26" ht="15.75" customHeight="1" x14ac:dyDescent="0.2">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spans="1:26" ht="15.75" customHeight="1" x14ac:dyDescent="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spans="1:26" ht="15.75" customHeight="1" x14ac:dyDescent="0.2">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spans="1:26" ht="15.75" customHeight="1" x14ac:dyDescent="0.2">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spans="1:26" ht="15.75" customHeight="1" x14ac:dyDescent="0.2">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spans="1:26" ht="15.75" customHeight="1" x14ac:dyDescent="0.2">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spans="1:26" ht="15.75" customHeight="1" x14ac:dyDescent="0.2">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spans="1:26" ht="15.75" customHeight="1" x14ac:dyDescent="0.2">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spans="1:26" ht="15.75" customHeight="1" x14ac:dyDescent="0.2">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spans="1:26" ht="15.75" customHeight="1" x14ac:dyDescent="0.2">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spans="1:26" ht="15.75" customHeight="1" x14ac:dyDescent="0.2">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spans="1:26" ht="15.75" customHeight="1" x14ac:dyDescent="0.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spans="1:26" ht="15.75" customHeight="1" x14ac:dyDescent="0.2">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spans="1:26" ht="15.75" customHeight="1" x14ac:dyDescent="0.2">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spans="1:26" ht="15.75" customHeight="1" x14ac:dyDescent="0.2">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spans="1:26" ht="15.75" customHeight="1" x14ac:dyDescent="0.2">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spans="1:26" ht="15.75" customHeight="1" x14ac:dyDescent="0.2">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spans="1:26" ht="15.75" customHeight="1" x14ac:dyDescent="0.2">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spans="1:26" ht="15.75" customHeight="1" x14ac:dyDescent="0.2">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spans="1:26" ht="15.75" customHeight="1" x14ac:dyDescent="0.2">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spans="1:26" ht="15.75" customHeight="1" x14ac:dyDescent="0.2">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spans="1:26" ht="15.75" customHeight="1" x14ac:dyDescent="0.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spans="1:26" ht="15.75" customHeight="1" x14ac:dyDescent="0.2">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spans="1:26" ht="15.75" customHeight="1" x14ac:dyDescent="0.2">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spans="1:26" ht="15.75" customHeight="1" x14ac:dyDescent="0.2">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spans="1:26" ht="15.75" customHeight="1" x14ac:dyDescent="0.2">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spans="1:26" ht="15.75" customHeight="1" x14ac:dyDescent="0.2">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spans="1:26" ht="15.75" customHeight="1" x14ac:dyDescent="0.2">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spans="1:26" ht="15.75" customHeight="1" x14ac:dyDescent="0.2">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spans="1:26" ht="15.75" customHeight="1" x14ac:dyDescent="0.2">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spans="1:26" ht="15.75" customHeight="1" x14ac:dyDescent="0.2">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spans="1:26" ht="15.75" customHeight="1" x14ac:dyDescent="0.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spans="1:26" ht="15.75" customHeight="1" x14ac:dyDescent="0.2">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spans="1:26" ht="15.75" customHeight="1" x14ac:dyDescent="0.2">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spans="1:26" ht="15.75" customHeight="1" x14ac:dyDescent="0.2">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spans="1:26" ht="15.75" customHeight="1" x14ac:dyDescent="0.2">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spans="1:26" ht="15.75" customHeight="1" x14ac:dyDescent="0.2">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spans="1:26" ht="15.75" customHeight="1" x14ac:dyDescent="0.2">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spans="1:26" ht="15.75" customHeight="1" x14ac:dyDescent="0.2">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spans="1:26" ht="15.75" customHeight="1" x14ac:dyDescent="0.2">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spans="1:26" ht="15.75" customHeight="1" x14ac:dyDescent="0.2">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spans="1:26" ht="15.75" customHeight="1" x14ac:dyDescent="0.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spans="1:26" ht="15.75" customHeight="1" x14ac:dyDescent="0.2">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spans="1:26" ht="15.75" customHeight="1" x14ac:dyDescent="0.2">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spans="1:26" ht="15.75" customHeight="1" x14ac:dyDescent="0.2">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spans="1:26" ht="15.75" customHeight="1" x14ac:dyDescent="0.2">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spans="1:26" ht="15.75" customHeight="1" x14ac:dyDescent="0.2">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spans="1:26" ht="15.75" customHeight="1" x14ac:dyDescent="0.2">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spans="1:26" ht="15.75" customHeight="1" x14ac:dyDescent="0.2">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spans="1:26" ht="15.75" customHeight="1" x14ac:dyDescent="0.2">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spans="1:26" ht="15.75" customHeight="1" x14ac:dyDescent="0.2">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spans="1:26" ht="15.75" customHeight="1" x14ac:dyDescent="0.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spans="1:26" ht="15.75" customHeight="1" x14ac:dyDescent="0.2">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spans="1:26" ht="15.75" customHeight="1" x14ac:dyDescent="0.2">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spans="1:26" ht="15.75" customHeight="1" x14ac:dyDescent="0.2">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spans="1:26" ht="15.75" customHeight="1" x14ac:dyDescent="0.2">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spans="1:26" ht="15.75" customHeight="1" x14ac:dyDescent="0.2">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spans="1:26" ht="15.75" customHeight="1" x14ac:dyDescent="0.2">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spans="1:26" ht="15.75" customHeight="1" x14ac:dyDescent="0.2">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spans="1:26" ht="15.75" customHeight="1" x14ac:dyDescent="0.2">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spans="1:26" ht="15.75" customHeight="1" x14ac:dyDescent="0.2">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spans="1:26" ht="15.75" customHeight="1" x14ac:dyDescent="0.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spans="1:26" ht="15.75" customHeight="1" x14ac:dyDescent="0.2">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spans="1:26" ht="15.75" customHeight="1" x14ac:dyDescent="0.2">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spans="1:26" ht="15.75" customHeight="1" x14ac:dyDescent="0.2">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spans="1:26" ht="15.75" customHeight="1" x14ac:dyDescent="0.2">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spans="1:26" ht="15.75" customHeight="1" x14ac:dyDescent="0.2">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spans="1:26" ht="15.75" customHeight="1" x14ac:dyDescent="0.2">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spans="1:26" ht="15.75" customHeight="1" x14ac:dyDescent="0.2">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spans="1:26" ht="15.75" customHeight="1" x14ac:dyDescent="0.2">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spans="1:26" ht="15.75" customHeight="1" x14ac:dyDescent="0.2">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spans="1:26" ht="15.75" customHeight="1" x14ac:dyDescent="0.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spans="1:26" ht="15.75" customHeight="1" x14ac:dyDescent="0.2">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spans="1:26" ht="15.75" customHeight="1" x14ac:dyDescent="0.2">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spans="1:26" ht="15.75" customHeight="1" x14ac:dyDescent="0.2">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spans="1:26" ht="15.75" customHeight="1" x14ac:dyDescent="0.2">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spans="1:26" ht="15.75" customHeight="1" x14ac:dyDescent="0.2">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spans="1:26" ht="15.75" customHeight="1" x14ac:dyDescent="0.2">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spans="1:26" ht="15.75" customHeight="1" x14ac:dyDescent="0.2">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spans="1:26" ht="15.75" customHeight="1" x14ac:dyDescent="0.2">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spans="1:26" ht="15.75" customHeight="1" x14ac:dyDescent="0.2">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spans="1:26" ht="15.75" customHeight="1" x14ac:dyDescent="0.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spans="1:26" ht="15.75" customHeight="1" x14ac:dyDescent="0.2">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spans="1:26" ht="15.75" customHeight="1" x14ac:dyDescent="0.2">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spans="1:26" ht="15.75" customHeight="1" x14ac:dyDescent="0.2">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spans="1:26" ht="15.75" customHeight="1" x14ac:dyDescent="0.2">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spans="1:26" ht="15.75" customHeight="1" x14ac:dyDescent="0.2">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spans="1:26" ht="15.75" customHeight="1" x14ac:dyDescent="0.2">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spans="1:26" ht="15.75" customHeight="1" x14ac:dyDescent="0.2">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spans="1:26" ht="15.75" customHeight="1" x14ac:dyDescent="0.2">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spans="1:26" ht="15.75" customHeight="1" x14ac:dyDescent="0.2">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spans="1:26" ht="15.75" customHeight="1" x14ac:dyDescent="0.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spans="1:26" ht="15.75" customHeight="1" x14ac:dyDescent="0.2">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spans="1:26" ht="15.75" customHeight="1" x14ac:dyDescent="0.2">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spans="1:26" ht="15.75" customHeight="1" x14ac:dyDescent="0.2">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spans="1:26" ht="15.75" customHeight="1" x14ac:dyDescent="0.2">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spans="1:26" ht="15.75" customHeight="1" x14ac:dyDescent="0.2">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spans="1:26" ht="15.75" customHeight="1" x14ac:dyDescent="0.2">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spans="1:26" ht="15.75" customHeight="1" x14ac:dyDescent="0.2">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spans="1:26" ht="15.75" customHeight="1" x14ac:dyDescent="0.2">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spans="1:26" ht="15.75" customHeight="1" x14ac:dyDescent="0.2">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spans="1:26" ht="15.75" customHeight="1" x14ac:dyDescent="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spans="1:26" ht="15.75" customHeight="1" x14ac:dyDescent="0.2">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spans="1:26" ht="15.75" customHeight="1" x14ac:dyDescent="0.2">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spans="1:26" ht="15.75" customHeight="1" x14ac:dyDescent="0.2">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spans="1:26" ht="15.75" customHeight="1" x14ac:dyDescent="0.2">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spans="1:26" ht="15.75" customHeight="1" x14ac:dyDescent="0.2">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spans="1:26" ht="15.75" customHeight="1" x14ac:dyDescent="0.2">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spans="1:26" ht="15.75" customHeight="1" x14ac:dyDescent="0.2">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spans="1:26" ht="15.75" customHeight="1" x14ac:dyDescent="0.2">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spans="1:26" ht="15.75" customHeight="1" x14ac:dyDescent="0.2">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spans="1:26" ht="15.75" customHeight="1" x14ac:dyDescent="0.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spans="1:26" ht="15.75" customHeight="1" x14ac:dyDescent="0.2">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spans="1:26" ht="15.75" customHeight="1" x14ac:dyDescent="0.2">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spans="1:26" ht="15.75" customHeight="1" x14ac:dyDescent="0.2">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spans="1:26" ht="15.75" customHeight="1" x14ac:dyDescent="0.2">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spans="1:26" ht="15.75" customHeight="1" x14ac:dyDescent="0.2">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spans="1:26" ht="15.75" customHeight="1" x14ac:dyDescent="0.2">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spans="1:26" ht="15.75" customHeight="1" x14ac:dyDescent="0.2">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spans="1:26" ht="15.75" customHeight="1" x14ac:dyDescent="0.2">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spans="1:26" ht="15.75" customHeight="1" x14ac:dyDescent="0.2">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spans="1:26" ht="15.75" customHeight="1" x14ac:dyDescent="0.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spans="1:26" ht="15.75" customHeight="1" x14ac:dyDescent="0.2">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spans="1:26" ht="15.75" customHeight="1" x14ac:dyDescent="0.2">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spans="1:26" ht="15.75" customHeight="1" x14ac:dyDescent="0.2">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spans="1:26" ht="15.75" customHeight="1" x14ac:dyDescent="0.2">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spans="1:26" ht="15.75" customHeight="1" x14ac:dyDescent="0.2">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spans="1:26" ht="15.75" customHeight="1" x14ac:dyDescent="0.2">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spans="1:26" ht="15.75" customHeight="1" x14ac:dyDescent="0.2">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spans="1:26" ht="15.75" customHeight="1" x14ac:dyDescent="0.2">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spans="1:26" ht="15.75" customHeight="1" x14ac:dyDescent="0.2">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spans="1:26" ht="15.75" customHeight="1" x14ac:dyDescent="0.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spans="1:26" ht="15.75" customHeight="1" x14ac:dyDescent="0.2">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spans="1:26" ht="15.75" customHeight="1" x14ac:dyDescent="0.2">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spans="1:26" ht="15.75" customHeight="1" x14ac:dyDescent="0.2">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spans="1:26" ht="15.75" customHeight="1" x14ac:dyDescent="0.2">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spans="1:26" ht="15.75" customHeight="1" x14ac:dyDescent="0.2">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spans="1:26" ht="15.75" customHeight="1" x14ac:dyDescent="0.2">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spans="1:26" ht="15.75" customHeight="1" x14ac:dyDescent="0.2">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spans="1:26" ht="15.75" customHeight="1" x14ac:dyDescent="0.2">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spans="1:26" ht="15.75" customHeight="1" x14ac:dyDescent="0.2">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spans="1:26" ht="15.75" customHeight="1" x14ac:dyDescent="0.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spans="1:26" ht="15.75" customHeight="1" x14ac:dyDescent="0.2">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spans="1:26" ht="15.75" customHeight="1" x14ac:dyDescent="0.2">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spans="1:26" ht="15.75" customHeight="1" x14ac:dyDescent="0.2">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spans="1:26" ht="15.75" customHeight="1" x14ac:dyDescent="0.2">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spans="1:26" ht="15.75" customHeight="1" x14ac:dyDescent="0.2">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spans="1:26" ht="15.75" customHeight="1" x14ac:dyDescent="0.2">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spans="1:26" ht="15.75" customHeight="1" x14ac:dyDescent="0.2">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spans="1:26" ht="15.75" customHeight="1" x14ac:dyDescent="0.2">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spans="1:26" ht="15.75" customHeight="1" x14ac:dyDescent="0.2">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spans="1:26" ht="15.75" customHeight="1" x14ac:dyDescent="0.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spans="1:26" ht="15.75" customHeight="1" x14ac:dyDescent="0.2">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spans="1:26" ht="15.75" customHeight="1" x14ac:dyDescent="0.2">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spans="1:26" ht="15.75" customHeight="1" x14ac:dyDescent="0.2">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spans="1:26" ht="15.75" customHeight="1" x14ac:dyDescent="0.2">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spans="1:26" ht="15.75" customHeight="1" x14ac:dyDescent="0.2">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spans="1:26" ht="15.75" customHeight="1" x14ac:dyDescent="0.2">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spans="1:26" ht="15.75" customHeight="1" x14ac:dyDescent="0.2">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spans="1:26" ht="15.75" customHeight="1" x14ac:dyDescent="0.2">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spans="1:26" ht="15.75" customHeight="1" x14ac:dyDescent="0.2">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spans="1:26" ht="15.75" customHeight="1" x14ac:dyDescent="0.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spans="1:26" ht="15.75" customHeight="1" x14ac:dyDescent="0.2">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spans="1:26" ht="15.75" customHeight="1" x14ac:dyDescent="0.2">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spans="1:26" ht="15.75" customHeight="1" x14ac:dyDescent="0.2">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spans="1:26" ht="15.75" customHeight="1" x14ac:dyDescent="0.2">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spans="1:26" ht="15.75" customHeight="1" x14ac:dyDescent="0.2">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spans="1:26" ht="15.75" customHeight="1" x14ac:dyDescent="0.2">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spans="1:26" ht="15.75" customHeight="1" x14ac:dyDescent="0.2">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spans="1:26" ht="15.75" customHeight="1" x14ac:dyDescent="0.2">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spans="1:26" ht="15.75" customHeight="1" x14ac:dyDescent="0.2">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spans="1:26" ht="15.75" customHeight="1" x14ac:dyDescent="0.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spans="1:26" ht="15.75" customHeight="1" x14ac:dyDescent="0.2">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spans="1:26" ht="15.75" customHeight="1" x14ac:dyDescent="0.2">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spans="1:26" ht="15.75" customHeight="1" x14ac:dyDescent="0.2">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spans="1:26" ht="15.75" customHeight="1" x14ac:dyDescent="0.2">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spans="1:26" ht="15.75" customHeight="1" x14ac:dyDescent="0.2">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spans="1:26" ht="15.75" customHeight="1" x14ac:dyDescent="0.2">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spans="1:26" ht="15.75" customHeight="1" x14ac:dyDescent="0.2">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spans="1:26" ht="15.75" customHeight="1" x14ac:dyDescent="0.2">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spans="1:26" ht="15.75" customHeight="1" x14ac:dyDescent="0.2">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spans="1:26" ht="15.75" customHeight="1" x14ac:dyDescent="0.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spans="1:26" ht="15.75" customHeight="1" x14ac:dyDescent="0.2">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spans="1:26" ht="15.75" customHeight="1" x14ac:dyDescent="0.2">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spans="1:26" ht="15.75" customHeight="1" x14ac:dyDescent="0.2">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spans="1:26" ht="15.75" customHeight="1" x14ac:dyDescent="0.2">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spans="1:26" ht="15.75" customHeight="1" x14ac:dyDescent="0.2">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spans="1:26" ht="15.75" customHeight="1" x14ac:dyDescent="0.2">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spans="1:26" ht="15.75" customHeight="1" x14ac:dyDescent="0.2">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spans="1:26" ht="15.75" customHeight="1" x14ac:dyDescent="0.2">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spans="1:26" ht="15.75" customHeight="1" x14ac:dyDescent="0.2">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spans="1:26" ht="15.75" customHeight="1" x14ac:dyDescent="0.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spans="1:26" ht="15.75" customHeight="1" x14ac:dyDescent="0.2">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spans="1:26" ht="15.75" customHeight="1" x14ac:dyDescent="0.2">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spans="1:26" ht="15.75" customHeight="1" x14ac:dyDescent="0.2">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spans="1:26" ht="15.75" customHeight="1" x14ac:dyDescent="0.2">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spans="1:26" ht="15.75" customHeight="1" x14ac:dyDescent="0.2">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spans="1:26" ht="15.75" customHeight="1" x14ac:dyDescent="0.2">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spans="1:26" ht="15.75" customHeight="1" x14ac:dyDescent="0.2">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spans="1:26" ht="15.75" customHeight="1" x14ac:dyDescent="0.2">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spans="1:26" ht="15.75" customHeight="1" x14ac:dyDescent="0.2">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spans="1:26" ht="15.75" customHeight="1" x14ac:dyDescent="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spans="1:26" ht="15.75" customHeight="1" x14ac:dyDescent="0.2">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spans="1:26" ht="15.75" customHeight="1" x14ac:dyDescent="0.2">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spans="1:26" ht="15.75" customHeight="1" x14ac:dyDescent="0.2">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spans="1:26" ht="15.75" customHeight="1" x14ac:dyDescent="0.2">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spans="1:26" ht="15.75" customHeight="1" x14ac:dyDescent="0.2">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spans="1:26" ht="15.75" customHeight="1" x14ac:dyDescent="0.2">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spans="1:26" ht="15.75" customHeight="1" x14ac:dyDescent="0.2">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spans="1:26" ht="15.75" customHeight="1" x14ac:dyDescent="0.2">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spans="1:26" ht="15.75" customHeight="1" x14ac:dyDescent="0.2">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spans="1:26" ht="15.75" customHeight="1" x14ac:dyDescent="0.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spans="1:26" ht="15.75" customHeight="1" x14ac:dyDescent="0.2">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spans="1:26" ht="15.75" customHeight="1" x14ac:dyDescent="0.2">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spans="1:26" ht="15.75" customHeight="1" x14ac:dyDescent="0.2">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spans="1:26" ht="15.75" customHeight="1" x14ac:dyDescent="0.2">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spans="1:26" ht="15.75" customHeight="1" x14ac:dyDescent="0.2">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spans="1:26" ht="15.75" customHeight="1" x14ac:dyDescent="0.2">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spans="1:26" ht="15.75" customHeight="1" x14ac:dyDescent="0.2">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spans="1:26" ht="15.75" customHeight="1" x14ac:dyDescent="0.2">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spans="1:26" ht="15.75" customHeight="1" x14ac:dyDescent="0.2">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spans="1:26" ht="15.75" customHeight="1" x14ac:dyDescent="0.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spans="1:26" ht="15.75" customHeight="1" x14ac:dyDescent="0.2">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spans="1:26" ht="15.75" customHeight="1" x14ac:dyDescent="0.2">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spans="1:26" ht="15.75" customHeight="1" x14ac:dyDescent="0.2">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spans="1:26" ht="15.75" customHeight="1" x14ac:dyDescent="0.2">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spans="1:26" ht="15.75" customHeight="1" x14ac:dyDescent="0.2">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spans="1:26" ht="15.75" customHeight="1" x14ac:dyDescent="0.2">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spans="1:26" ht="15.75" customHeight="1" x14ac:dyDescent="0.2">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spans="1:26" ht="15.75" customHeight="1" x14ac:dyDescent="0.2">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spans="1:26" ht="15.75" customHeight="1" x14ac:dyDescent="0.2">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spans="1:26" ht="15.75" customHeight="1" x14ac:dyDescent="0.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spans="1:26" ht="15.75" customHeight="1" x14ac:dyDescent="0.2">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spans="1:26" ht="15.75" customHeight="1" x14ac:dyDescent="0.2">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spans="1:26" ht="15.75" customHeight="1" x14ac:dyDescent="0.2">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spans="1:26" ht="15.75" customHeight="1" x14ac:dyDescent="0.2">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spans="1:26" ht="15.75" customHeight="1" x14ac:dyDescent="0.2">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spans="1:26" ht="15.75" customHeight="1" x14ac:dyDescent="0.2">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spans="1:26" ht="15.75" customHeight="1" x14ac:dyDescent="0.2">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spans="1:26" ht="15.75" customHeight="1" x14ac:dyDescent="0.2">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spans="1:26" ht="15.75" customHeight="1" x14ac:dyDescent="0.2">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spans="1:26" ht="15.75" customHeight="1" x14ac:dyDescent="0.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spans="1:26" ht="15.75" customHeight="1" x14ac:dyDescent="0.2">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spans="1:26" ht="15.75" customHeight="1" x14ac:dyDescent="0.2">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spans="1:26" ht="15.75" customHeight="1" x14ac:dyDescent="0.2">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spans="1:26" ht="15.75" customHeight="1" x14ac:dyDescent="0.2">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spans="1:26" ht="15.75" customHeight="1" x14ac:dyDescent="0.2">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spans="1:26" ht="15.75" customHeight="1" x14ac:dyDescent="0.2">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spans="1:26" ht="15.75" customHeight="1" x14ac:dyDescent="0.2">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spans="1:26" ht="15.75" customHeight="1" x14ac:dyDescent="0.2">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spans="1:26" ht="15.75" customHeight="1" x14ac:dyDescent="0.2">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spans="1:26" ht="15.75" customHeight="1" x14ac:dyDescent="0.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spans="1:26" ht="15.75" customHeight="1" x14ac:dyDescent="0.2">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spans="1:26" ht="15.75" customHeight="1" x14ac:dyDescent="0.2">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spans="1:26" ht="15.75" customHeight="1" x14ac:dyDescent="0.2">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spans="1:26" ht="15.75" customHeight="1" x14ac:dyDescent="0.2">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spans="1:26" ht="15.75" customHeight="1" x14ac:dyDescent="0.2">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spans="1:26" ht="15.75" customHeight="1" x14ac:dyDescent="0.2">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spans="1:26" ht="15.75" customHeight="1" x14ac:dyDescent="0.2">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spans="1:26" ht="15.75" customHeight="1" x14ac:dyDescent="0.2">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spans="1:26" ht="15.75" customHeight="1" x14ac:dyDescent="0.2">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spans="1:26" ht="15.75" customHeight="1" x14ac:dyDescent="0.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spans="1:26" ht="15.75" customHeight="1" x14ac:dyDescent="0.2">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spans="1:26" ht="15.75" customHeight="1" x14ac:dyDescent="0.2">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spans="1:26" ht="15.75" customHeight="1" x14ac:dyDescent="0.2">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spans="1:26" ht="15.75" customHeight="1" x14ac:dyDescent="0.2">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spans="1:26" ht="15.75" customHeight="1" x14ac:dyDescent="0.2">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spans="1:26" ht="15.75" customHeight="1" x14ac:dyDescent="0.2">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spans="1:26" ht="15.75" customHeight="1" x14ac:dyDescent="0.2">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spans="1:26" ht="15.75" customHeight="1" x14ac:dyDescent="0.2">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spans="1:26" ht="15.75" customHeight="1" x14ac:dyDescent="0.2">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spans="1:26" ht="15.75" customHeight="1" x14ac:dyDescent="0.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spans="1:26" ht="15.75" customHeight="1" x14ac:dyDescent="0.2">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spans="1:26" ht="15.75" customHeight="1" x14ac:dyDescent="0.2">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spans="1:26" ht="15.75" customHeight="1" x14ac:dyDescent="0.2">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spans="1:26" ht="15.75" customHeight="1" x14ac:dyDescent="0.2">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spans="1:26" ht="15.75" customHeight="1" x14ac:dyDescent="0.2">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spans="1:26" ht="15.75" customHeight="1" x14ac:dyDescent="0.2">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spans="1:26" ht="15.75" customHeight="1" x14ac:dyDescent="0.2">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spans="1:26" ht="15.75" customHeight="1" x14ac:dyDescent="0.2">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spans="1:26" ht="15.75" customHeight="1" x14ac:dyDescent="0.2">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spans="1:26" ht="15.75" customHeight="1" x14ac:dyDescent="0.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spans="1:26" ht="15.75" customHeight="1" x14ac:dyDescent="0.2">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spans="1:26" ht="15.75" customHeight="1" x14ac:dyDescent="0.2">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spans="1:26" ht="15.75" customHeight="1" x14ac:dyDescent="0.2">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spans="1:26" ht="15.75" customHeight="1" x14ac:dyDescent="0.2">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spans="1:26" ht="15.75" customHeight="1" x14ac:dyDescent="0.2">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spans="1:26" ht="15.75" customHeight="1" x14ac:dyDescent="0.2">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spans="1:26" ht="15.75" customHeight="1" x14ac:dyDescent="0.2">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spans="1:26" ht="15.75" customHeight="1" x14ac:dyDescent="0.2">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spans="1:26" ht="15.75" customHeight="1" x14ac:dyDescent="0.2">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spans="1:26" ht="15.75" customHeight="1" x14ac:dyDescent="0.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spans="1:26" ht="15.75" customHeight="1" x14ac:dyDescent="0.2">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spans="1:26" ht="15.75" customHeight="1" x14ac:dyDescent="0.2">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spans="1:26" ht="15.75" customHeight="1" x14ac:dyDescent="0.2">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spans="1:26" ht="15.75" customHeight="1" x14ac:dyDescent="0.2">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spans="1:26" ht="15.75" customHeight="1" x14ac:dyDescent="0.2">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spans="1:26" ht="15.75" customHeight="1" x14ac:dyDescent="0.2">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spans="1:26" ht="15.75" customHeight="1" x14ac:dyDescent="0.2">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spans="1:26" ht="15.75" customHeight="1" x14ac:dyDescent="0.2">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spans="1:26" ht="15.75" customHeight="1" x14ac:dyDescent="0.2">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spans="1:26" ht="15.75" customHeight="1" x14ac:dyDescent="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spans="1:26" ht="15.75" customHeight="1" x14ac:dyDescent="0.2">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spans="1:26" ht="15.75" customHeight="1" x14ac:dyDescent="0.2">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spans="1:26" ht="15.75" customHeight="1" x14ac:dyDescent="0.2">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spans="1:26" ht="15.75" customHeight="1" x14ac:dyDescent="0.2">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spans="1:26" ht="15.75" customHeight="1" x14ac:dyDescent="0.2">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spans="1:26" ht="15.75" customHeight="1" x14ac:dyDescent="0.2">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spans="1:26" ht="15.75" customHeight="1" x14ac:dyDescent="0.2">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spans="1:26" ht="15.75" customHeight="1" x14ac:dyDescent="0.2">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spans="1:26" ht="15.75" customHeight="1" x14ac:dyDescent="0.2">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spans="1:26" ht="15.75" customHeight="1" x14ac:dyDescent="0.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spans="1:26" ht="15.75" customHeight="1" x14ac:dyDescent="0.2">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spans="1:26" ht="15.75" customHeight="1" x14ac:dyDescent="0.2">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spans="1:26" ht="15.75" customHeight="1" x14ac:dyDescent="0.2">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spans="1:26" ht="15.75" customHeight="1" x14ac:dyDescent="0.2">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spans="1:26" ht="15.75" customHeight="1" x14ac:dyDescent="0.2">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spans="1:26" ht="15.75" customHeight="1" x14ac:dyDescent="0.2">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spans="1:26" ht="15.75" customHeight="1" x14ac:dyDescent="0.2">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spans="1:26" ht="15.75" customHeight="1" x14ac:dyDescent="0.2">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spans="1:26" ht="15.75" customHeight="1" x14ac:dyDescent="0.2">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spans="1:26" ht="15.75" customHeight="1" x14ac:dyDescent="0.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spans="1:26" ht="15.75" customHeight="1" x14ac:dyDescent="0.2">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spans="1:26" ht="15.75" customHeight="1" x14ac:dyDescent="0.2">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spans="1:26" ht="15.75" customHeight="1" x14ac:dyDescent="0.2">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spans="1:26" ht="15.75" customHeight="1" x14ac:dyDescent="0.2">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spans="1:26" ht="15.75" customHeight="1" x14ac:dyDescent="0.2">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spans="1:26" ht="15.75" customHeight="1" x14ac:dyDescent="0.2">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spans="1:26" ht="15.75" customHeight="1" x14ac:dyDescent="0.2">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spans="1:26" ht="15.75" customHeight="1" x14ac:dyDescent="0.2">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spans="1:26" ht="15.75" customHeight="1" x14ac:dyDescent="0.2">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spans="1:26" ht="15.75" customHeight="1" x14ac:dyDescent="0.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spans="1:26" ht="15.75" customHeight="1" x14ac:dyDescent="0.2">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spans="1:26" ht="15.75" customHeight="1" x14ac:dyDescent="0.2">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spans="1:26" ht="15.75" customHeight="1" x14ac:dyDescent="0.2">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spans="1:26" ht="15.75" customHeight="1" x14ac:dyDescent="0.2">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spans="1:26" ht="15.75" customHeight="1" x14ac:dyDescent="0.2">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spans="1:26" ht="15.75" customHeight="1" x14ac:dyDescent="0.2">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spans="1:26" ht="15.75" customHeight="1" x14ac:dyDescent="0.2">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spans="1:26" ht="15.75" customHeight="1" x14ac:dyDescent="0.2">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spans="1:26" ht="15.75" customHeight="1" x14ac:dyDescent="0.2">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spans="1:26" ht="15.75" customHeight="1" x14ac:dyDescent="0.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spans="1:26" ht="15.75" customHeight="1" x14ac:dyDescent="0.2">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spans="1:26" ht="15.75" customHeight="1" x14ac:dyDescent="0.2">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spans="1:26" ht="15.75" customHeight="1" x14ac:dyDescent="0.2">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spans="1:26" ht="15.75" customHeight="1" x14ac:dyDescent="0.2">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spans="1:26" ht="15.75" customHeight="1" x14ac:dyDescent="0.2">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spans="1:26" ht="15.75" customHeight="1" x14ac:dyDescent="0.2">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spans="1:26" ht="15.75" customHeight="1" x14ac:dyDescent="0.2">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spans="1:26" ht="15.75" customHeight="1" x14ac:dyDescent="0.2">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spans="1:26" ht="15.75" customHeight="1" x14ac:dyDescent="0.2">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spans="1:26" ht="15.75" customHeight="1" x14ac:dyDescent="0.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spans="1:26" ht="15.75" customHeight="1" x14ac:dyDescent="0.2">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spans="1:26" ht="15.75" customHeight="1" x14ac:dyDescent="0.2">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spans="1:26" ht="15.75" customHeight="1" x14ac:dyDescent="0.2">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spans="1:26" ht="15.75" customHeight="1" x14ac:dyDescent="0.2">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spans="1:26" ht="15.75" customHeight="1" x14ac:dyDescent="0.2">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spans="1:26" ht="15.75" customHeight="1" x14ac:dyDescent="0.2">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spans="1:26" ht="15.75" customHeight="1" x14ac:dyDescent="0.2">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spans="1:26" ht="15.75" customHeight="1" x14ac:dyDescent="0.2">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spans="1:26" ht="15.75" customHeight="1" x14ac:dyDescent="0.2">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spans="1:26" ht="15.75" customHeight="1" x14ac:dyDescent="0.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spans="1:26" ht="15.75" customHeight="1" x14ac:dyDescent="0.2">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spans="1:26" ht="15.75" customHeight="1" x14ac:dyDescent="0.2">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spans="1:26" ht="15.75" customHeight="1" x14ac:dyDescent="0.2">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spans="1:26" ht="15.75" customHeight="1" x14ac:dyDescent="0.2">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spans="1:26" ht="15.75" customHeight="1" x14ac:dyDescent="0.2">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spans="1:26" ht="15.75" customHeight="1" x14ac:dyDescent="0.2">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spans="1:26" ht="15.75" customHeight="1" x14ac:dyDescent="0.2">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spans="1:26" ht="15.75" customHeight="1" x14ac:dyDescent="0.2">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spans="1:26" ht="15.75" customHeight="1" x14ac:dyDescent="0.2">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spans="1:26" ht="15.75" customHeight="1" x14ac:dyDescent="0.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spans="1:26" ht="15.75" customHeight="1" x14ac:dyDescent="0.2">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spans="1:26" ht="15.75" customHeight="1" x14ac:dyDescent="0.2">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spans="1:26" ht="15.75" customHeight="1" x14ac:dyDescent="0.2">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spans="1:26" ht="15.75" customHeight="1" x14ac:dyDescent="0.2">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spans="1:26" ht="15.75" customHeight="1" x14ac:dyDescent="0.2">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spans="1:26" ht="15.75" customHeight="1" x14ac:dyDescent="0.2">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spans="1:26" ht="15.75" customHeight="1" x14ac:dyDescent="0.2">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spans="1:26" ht="15.75" customHeight="1" x14ac:dyDescent="0.2">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spans="1:26" ht="15.75" customHeight="1" x14ac:dyDescent="0.2">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spans="1:26" ht="15.75" customHeight="1" x14ac:dyDescent="0.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spans="1:26" ht="15.75" customHeight="1" x14ac:dyDescent="0.2">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spans="1:26" ht="15.75" customHeight="1" x14ac:dyDescent="0.2">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spans="1:26" ht="15.75" customHeight="1" x14ac:dyDescent="0.2">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spans="1:26" ht="15.75" customHeight="1" x14ac:dyDescent="0.2">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spans="1:26" ht="15.75" customHeight="1" x14ac:dyDescent="0.2">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spans="1:26" ht="15.75" customHeight="1" x14ac:dyDescent="0.2">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spans="1:26" ht="15.75" customHeight="1" x14ac:dyDescent="0.2">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spans="1:26" ht="15.75" customHeight="1" x14ac:dyDescent="0.2">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spans="1:26" ht="15.75" customHeight="1" x14ac:dyDescent="0.2">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spans="1:26" ht="15.75" customHeight="1" x14ac:dyDescent="0.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spans="1:26" ht="15.75" customHeight="1" x14ac:dyDescent="0.2">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spans="1:26" ht="15.75" customHeight="1" x14ac:dyDescent="0.2">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spans="1:26" ht="15.75" customHeight="1" x14ac:dyDescent="0.2">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spans="1:26" ht="15.75" customHeight="1" x14ac:dyDescent="0.2">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spans="1:26" ht="15.75" customHeight="1" x14ac:dyDescent="0.2">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spans="1:26" ht="15.75" customHeight="1" x14ac:dyDescent="0.2">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spans="1:26" ht="15.75" customHeight="1" x14ac:dyDescent="0.2">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spans="1:26" ht="15.75" customHeight="1" x14ac:dyDescent="0.2">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spans="1:26" ht="15.75" customHeight="1" x14ac:dyDescent="0.2">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spans="1:26" ht="15.75" customHeight="1" x14ac:dyDescent="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spans="1:26" ht="15.75" customHeight="1" x14ac:dyDescent="0.2">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spans="1:26" ht="15.75" customHeight="1" x14ac:dyDescent="0.2">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spans="1:26" ht="15.75" customHeight="1" x14ac:dyDescent="0.2">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spans="1:26" ht="15.75" customHeight="1" x14ac:dyDescent="0.2">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spans="1:26" ht="15.75" customHeight="1" x14ac:dyDescent="0.2">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spans="1:26" ht="15.75" customHeight="1" x14ac:dyDescent="0.2">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spans="1:26" ht="15.75" customHeight="1" x14ac:dyDescent="0.2">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spans="1:26" ht="15.75" customHeight="1" x14ac:dyDescent="0.2">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spans="1:26" ht="15.75" customHeight="1" x14ac:dyDescent="0.2">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spans="1:26" ht="15.75" customHeight="1" x14ac:dyDescent="0.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spans="1:26" ht="15.75" customHeight="1" x14ac:dyDescent="0.2">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spans="1:26" ht="15.75" customHeight="1" x14ac:dyDescent="0.2">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spans="1:26" ht="15.75" customHeight="1" x14ac:dyDescent="0.2">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spans="1:26" ht="15.75" customHeight="1" x14ac:dyDescent="0.2">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spans="1:26" ht="15.75" customHeight="1" x14ac:dyDescent="0.2">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spans="1:26" ht="15.75" customHeight="1" x14ac:dyDescent="0.2">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spans="1:26" ht="15.75" customHeight="1" x14ac:dyDescent="0.2">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spans="1:26" ht="15.75" customHeight="1" x14ac:dyDescent="0.2">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spans="1:26" ht="15.75" customHeight="1" x14ac:dyDescent="0.2">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spans="1:26" ht="15.75" customHeight="1" x14ac:dyDescent="0.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spans="1:26" ht="15.75" customHeight="1" x14ac:dyDescent="0.2">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spans="1:26" ht="15.75" customHeight="1" x14ac:dyDescent="0.2">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spans="1:26" ht="15.75" customHeight="1" x14ac:dyDescent="0.2">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spans="1:26" ht="15.75" customHeight="1" x14ac:dyDescent="0.2">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spans="1:26" ht="15.75" customHeight="1" x14ac:dyDescent="0.2">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spans="1:26" ht="15.75" customHeight="1" x14ac:dyDescent="0.2">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spans="1:26" ht="15.75" customHeight="1" x14ac:dyDescent="0.2">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spans="1:26" ht="15.75" customHeight="1" x14ac:dyDescent="0.2">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spans="1:26" ht="15.75" customHeight="1" x14ac:dyDescent="0.2">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spans="1:26" ht="15.75" customHeight="1" x14ac:dyDescent="0.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spans="1:26" ht="15.75" customHeight="1" x14ac:dyDescent="0.2">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spans="1:26" ht="15.75" customHeight="1" x14ac:dyDescent="0.2">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spans="1:26" ht="15.75" customHeight="1" x14ac:dyDescent="0.2">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spans="1:26" ht="15.75" customHeight="1" x14ac:dyDescent="0.2">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spans="1:26" ht="15.75" customHeight="1" x14ac:dyDescent="0.2">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spans="1:26" ht="15.75" customHeight="1" x14ac:dyDescent="0.2">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spans="1:26" ht="15.75" customHeight="1" x14ac:dyDescent="0.2">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spans="1:26" ht="15.75" customHeight="1" x14ac:dyDescent="0.2">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spans="1:26" ht="15.75" customHeight="1" x14ac:dyDescent="0.2">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spans="1:26" ht="15.75" customHeight="1" x14ac:dyDescent="0.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spans="1:26" ht="15.75" customHeight="1" x14ac:dyDescent="0.2">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spans="1:26" ht="15.75" customHeight="1" x14ac:dyDescent="0.2">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spans="1:26" ht="15.75" customHeight="1" x14ac:dyDescent="0.2">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spans="1:26" ht="15.75" customHeight="1" x14ac:dyDescent="0.2">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spans="1:26" ht="15.75" customHeight="1" x14ac:dyDescent="0.2">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spans="1:26" ht="15.75" customHeight="1" x14ac:dyDescent="0.2">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spans="1:26" ht="15.75" customHeight="1" x14ac:dyDescent="0.2">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spans="1:26" ht="15.75" customHeight="1" x14ac:dyDescent="0.2">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spans="1:26" ht="15.75" customHeight="1" x14ac:dyDescent="0.2">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spans="1:26" ht="15.75" customHeight="1" x14ac:dyDescent="0.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spans="1:26" ht="15.75" customHeight="1" x14ac:dyDescent="0.2">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spans="1:26" ht="15.75" customHeight="1" x14ac:dyDescent="0.2">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spans="1:26" ht="15.75" customHeight="1" x14ac:dyDescent="0.2">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spans="1:26" ht="15.75" customHeight="1" x14ac:dyDescent="0.2">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spans="1:26" ht="15.75" customHeight="1" x14ac:dyDescent="0.2">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spans="1:26" ht="15.75" customHeight="1" x14ac:dyDescent="0.2">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spans="1:26" ht="15.75" customHeight="1" x14ac:dyDescent="0.2">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spans="1:26" ht="15.75" customHeight="1" x14ac:dyDescent="0.2">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spans="1:26" ht="15.75" customHeight="1" x14ac:dyDescent="0.2">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spans="1:26" ht="15.75" customHeight="1" x14ac:dyDescent="0.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spans="1:26" ht="15.75" customHeight="1" x14ac:dyDescent="0.2">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spans="1:26" ht="15.75" customHeight="1" x14ac:dyDescent="0.2">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spans="1:26" ht="15.75" customHeight="1" x14ac:dyDescent="0.2">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spans="1:26" ht="15.75" customHeight="1" x14ac:dyDescent="0.2">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spans="1:26" ht="15.75" customHeight="1" x14ac:dyDescent="0.2">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spans="1:26" ht="15.75" customHeight="1" x14ac:dyDescent="0.2">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spans="1:26" ht="15.75" customHeight="1" x14ac:dyDescent="0.2">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spans="1:26" ht="15.75" customHeight="1" x14ac:dyDescent="0.2">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spans="1:26" ht="15.75" customHeight="1" x14ac:dyDescent="0.2">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spans="1:26" ht="15.75" customHeight="1" x14ac:dyDescent="0.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spans="1:26" ht="15.75" customHeight="1" x14ac:dyDescent="0.2">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spans="1:26" ht="15.75" customHeight="1" x14ac:dyDescent="0.2">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spans="1:26" ht="15.75" customHeight="1" x14ac:dyDescent="0.2">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spans="1:26" ht="15.75" customHeight="1" x14ac:dyDescent="0.2">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spans="1:26" ht="15.75" customHeight="1" x14ac:dyDescent="0.2">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spans="1:26" ht="15.75" customHeight="1" x14ac:dyDescent="0.2">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spans="1:26" ht="15.75" customHeight="1" x14ac:dyDescent="0.2">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spans="1:26" ht="15.75" customHeight="1" x14ac:dyDescent="0.2">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spans="1:26" ht="15.75" customHeight="1" x14ac:dyDescent="0.2">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spans="1:26" ht="15.75" customHeight="1" x14ac:dyDescent="0.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spans="1:26" ht="15.75" customHeight="1" x14ac:dyDescent="0.2">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spans="1:26" ht="15.75" customHeight="1" x14ac:dyDescent="0.2">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spans="1:26" ht="15.75" customHeight="1" x14ac:dyDescent="0.2">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spans="1:26" ht="15.75" customHeight="1" x14ac:dyDescent="0.2">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spans="1:26" ht="15.75" customHeight="1" x14ac:dyDescent="0.2">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spans="1:26" ht="15.75" customHeight="1" x14ac:dyDescent="0.2">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spans="1:26" ht="15.75" customHeight="1" x14ac:dyDescent="0.2">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spans="1:26" ht="15.75" customHeight="1" x14ac:dyDescent="0.2">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spans="1:26" ht="15.75" customHeight="1" x14ac:dyDescent="0.2">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spans="1:26" ht="15.75" customHeight="1" x14ac:dyDescent="0.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spans="1:26" ht="15.75" customHeight="1" x14ac:dyDescent="0.2">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spans="1:26" ht="15.75" customHeight="1" x14ac:dyDescent="0.2">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spans="1:26" ht="15.75" customHeight="1" x14ac:dyDescent="0.2">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spans="1:26" ht="15.75" customHeight="1" x14ac:dyDescent="0.2">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spans="1:26" ht="15.75" customHeight="1" x14ac:dyDescent="0.2">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spans="1:26" ht="15.75" customHeight="1" x14ac:dyDescent="0.2">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spans="1:26" ht="15.75" customHeight="1" x14ac:dyDescent="0.2">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spans="1:26" ht="15.75" customHeight="1" x14ac:dyDescent="0.2">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spans="1:26" ht="15.75" customHeight="1" x14ac:dyDescent="0.2">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spans="1:26" ht="15.75" customHeight="1" x14ac:dyDescent="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spans="1:26" ht="15.75" customHeight="1" x14ac:dyDescent="0.2">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spans="1:26" ht="15.75" customHeight="1" x14ac:dyDescent="0.2">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spans="1:26" ht="15.75" customHeight="1" x14ac:dyDescent="0.2">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spans="1:26" ht="15.75" customHeight="1" x14ac:dyDescent="0.2">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spans="1:26" ht="15.75" customHeight="1" x14ac:dyDescent="0.2">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spans="1:26" ht="15.75" customHeight="1" x14ac:dyDescent="0.2">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spans="1:26" ht="15.75" customHeight="1" x14ac:dyDescent="0.2">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spans="1:26" ht="15.75" customHeight="1" x14ac:dyDescent="0.2">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spans="1:26" ht="15.75" customHeight="1" x14ac:dyDescent="0.2">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spans="1:26" ht="15.75" customHeight="1" x14ac:dyDescent="0.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spans="1:26" ht="15.75" customHeight="1" x14ac:dyDescent="0.2">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spans="1:26" ht="15.75" customHeight="1" x14ac:dyDescent="0.2">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spans="1:26" ht="15.75" customHeight="1" x14ac:dyDescent="0.2">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spans="1:26" ht="15.75" customHeight="1" x14ac:dyDescent="0.2">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spans="1:26" ht="15.75" customHeight="1" x14ac:dyDescent="0.2">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spans="1:26" ht="15.75" customHeight="1" x14ac:dyDescent="0.2">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spans="1:26" ht="15.75" customHeight="1" x14ac:dyDescent="0.2">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spans="1:26" ht="15.75" customHeight="1" x14ac:dyDescent="0.2">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spans="1:26" ht="15.75" customHeight="1" x14ac:dyDescent="0.2">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spans="1:26" ht="15.75" customHeight="1" x14ac:dyDescent="0.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spans="1:26" ht="15.75" customHeight="1" x14ac:dyDescent="0.2">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spans="1:26" ht="15.75" customHeight="1" x14ac:dyDescent="0.2">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spans="1:26" ht="15.75" customHeight="1" x14ac:dyDescent="0.2">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spans="1:26" ht="15.75" customHeight="1" x14ac:dyDescent="0.2">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spans="1:26" ht="15.75" customHeight="1" x14ac:dyDescent="0.2">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spans="1:26" ht="15.75" customHeight="1" x14ac:dyDescent="0.2">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spans="1:26" ht="15.75" customHeight="1" x14ac:dyDescent="0.2">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spans="1:26" ht="15.75" customHeight="1" x14ac:dyDescent="0.2">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spans="1:26" ht="15.75" customHeight="1" x14ac:dyDescent="0.2">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spans="1:26" ht="15.75" customHeight="1" x14ac:dyDescent="0.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spans="1:26" ht="15.75" customHeight="1" x14ac:dyDescent="0.2">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spans="1:26" ht="15.75" customHeight="1" x14ac:dyDescent="0.2">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spans="1:26" ht="15.75" customHeight="1" x14ac:dyDescent="0.2">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spans="1:26" ht="15.75" customHeight="1" x14ac:dyDescent="0.2">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spans="1:26" ht="15.75" customHeight="1" x14ac:dyDescent="0.2">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spans="1:26" ht="15.75" customHeight="1" x14ac:dyDescent="0.2">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spans="1:26" ht="15.75" customHeight="1" x14ac:dyDescent="0.2">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spans="1:26" ht="15.75" customHeight="1" x14ac:dyDescent="0.2">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spans="1:26" ht="15.75" customHeight="1" x14ac:dyDescent="0.2">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spans="1:26" ht="15.75" customHeight="1" x14ac:dyDescent="0.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spans="1:26" ht="15.75" customHeight="1" x14ac:dyDescent="0.2">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spans="1:26" ht="15.75" customHeight="1" x14ac:dyDescent="0.2">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spans="1:26" ht="15.75" customHeight="1" x14ac:dyDescent="0.2">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spans="1:26" ht="15.75" customHeight="1" x14ac:dyDescent="0.2">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spans="1:26" ht="15.75" customHeight="1" x14ac:dyDescent="0.2">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spans="1:26" ht="15.75" customHeight="1" x14ac:dyDescent="0.2">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spans="1:26" ht="15.75" customHeight="1" x14ac:dyDescent="0.2">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spans="1:26" ht="15.75" customHeight="1" x14ac:dyDescent="0.2">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spans="1:26" ht="15.75" customHeight="1" x14ac:dyDescent="0.2">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spans="1:26" ht="15.75" customHeight="1" x14ac:dyDescent="0.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spans="1:26" ht="15.75" customHeight="1" x14ac:dyDescent="0.2">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spans="1:26" ht="15.75" customHeight="1" x14ac:dyDescent="0.2">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spans="1:26" ht="15.75" customHeight="1" x14ac:dyDescent="0.2">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spans="1:26" ht="15.75" customHeight="1" x14ac:dyDescent="0.2">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spans="1:26" ht="15.75" customHeight="1" x14ac:dyDescent="0.2">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spans="1:26" ht="15.75" customHeight="1" x14ac:dyDescent="0.2">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spans="1:26" ht="15.75" customHeight="1" x14ac:dyDescent="0.2">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spans="1:26" ht="15.75" customHeight="1" x14ac:dyDescent="0.2">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spans="1:26" ht="15.75" customHeight="1" x14ac:dyDescent="0.2">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spans="1:26" ht="15.75" customHeight="1" x14ac:dyDescent="0.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spans="1:26" ht="15.75" customHeight="1" x14ac:dyDescent="0.2">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spans="1:26" ht="15.75" customHeight="1" x14ac:dyDescent="0.2">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spans="1:26" ht="15.75" customHeight="1" x14ac:dyDescent="0.2">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spans="1:26" ht="15.75" customHeight="1" x14ac:dyDescent="0.2">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spans="1:26" ht="15.75" customHeight="1" x14ac:dyDescent="0.2">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spans="1:26" ht="15.75" customHeight="1" x14ac:dyDescent="0.2">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spans="1:26" ht="15.75" customHeight="1" x14ac:dyDescent="0.2">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spans="1:26" ht="15.75" customHeight="1" x14ac:dyDescent="0.2">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spans="1:26" ht="15.75" customHeight="1" x14ac:dyDescent="0.2">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spans="1:26" ht="15.75" customHeight="1" x14ac:dyDescent="0.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spans="1:26" ht="15.75" customHeight="1" x14ac:dyDescent="0.2">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spans="1:26" ht="15.75" customHeight="1" x14ac:dyDescent="0.2">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spans="1:26" ht="15.75" customHeight="1" x14ac:dyDescent="0.2">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spans="1:26" ht="15.75" customHeight="1" x14ac:dyDescent="0.2">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spans="1:26" ht="15.75" customHeight="1" x14ac:dyDescent="0.2">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spans="1:26" ht="15.75" customHeight="1" x14ac:dyDescent="0.2">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spans="1:26" ht="15.75" customHeight="1" x14ac:dyDescent="0.2">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spans="1:26" ht="15.75" customHeight="1" x14ac:dyDescent="0.2">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spans="1:26" ht="15.75" customHeight="1" x14ac:dyDescent="0.2">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spans="1:26" ht="15.75" customHeight="1" x14ac:dyDescent="0.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spans="1:26" ht="15.75" customHeight="1" x14ac:dyDescent="0.2">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spans="1:26" ht="15.75" customHeight="1" x14ac:dyDescent="0.2">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spans="1:26" ht="15.75" customHeight="1" x14ac:dyDescent="0.2">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spans="1:26" ht="15.75" customHeight="1" x14ac:dyDescent="0.2">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spans="1:26" ht="15.75" customHeight="1" x14ac:dyDescent="0.2">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spans="1:26" ht="15.75" customHeight="1" x14ac:dyDescent="0.2">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spans="1:26" ht="15.75" customHeight="1" x14ac:dyDescent="0.2">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spans="1:26" ht="15.75" customHeight="1" x14ac:dyDescent="0.2">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spans="1:26" ht="15.75" customHeight="1" x14ac:dyDescent="0.2">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spans="1:26" ht="15.75" customHeight="1" x14ac:dyDescent="0.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spans="1:26" ht="15.75" customHeight="1" x14ac:dyDescent="0.2">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spans="1:26" ht="15.75" customHeight="1" x14ac:dyDescent="0.2">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spans="1:26" ht="15.75" customHeight="1" x14ac:dyDescent="0.2">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spans="1:26" ht="15.75" customHeight="1" x14ac:dyDescent="0.2">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spans="1:26" ht="15.75" customHeight="1" x14ac:dyDescent="0.2">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spans="1:26" ht="15.75" customHeight="1" x14ac:dyDescent="0.2">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spans="1:26" ht="15.75" customHeight="1" x14ac:dyDescent="0.2">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spans="1:26" ht="15.75" customHeight="1" x14ac:dyDescent="0.2">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spans="1:26" ht="15.75" customHeight="1" x14ac:dyDescent="0.2">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spans="1:26" ht="15.75" customHeight="1" x14ac:dyDescent="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spans="1:26" ht="15.75" customHeight="1" x14ac:dyDescent="0.2">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spans="1:26" ht="15.75" customHeight="1" x14ac:dyDescent="0.2">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spans="1:26" ht="15.75" customHeight="1" x14ac:dyDescent="0.2">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spans="1:26" ht="15.75" customHeight="1" x14ac:dyDescent="0.2">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spans="1:26" ht="15.75" customHeight="1" x14ac:dyDescent="0.2">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spans="1:26" ht="15.75" customHeight="1" x14ac:dyDescent="0.2">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spans="1:26" ht="15.75" customHeight="1" x14ac:dyDescent="0.2">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spans="1:26" ht="15.75" customHeight="1" x14ac:dyDescent="0.2">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spans="1:26" ht="15.75" customHeight="1" x14ac:dyDescent="0.2">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spans="1:26" ht="15.75" customHeight="1" x14ac:dyDescent="0.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spans="1:26" ht="15.75" customHeight="1" x14ac:dyDescent="0.2">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spans="1:26" ht="15.75" customHeight="1" x14ac:dyDescent="0.2">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spans="1:26" ht="15.75" customHeight="1" x14ac:dyDescent="0.2">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spans="1:26" ht="15.75" customHeight="1" x14ac:dyDescent="0.2">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spans="1:26" ht="15.75" customHeight="1" x14ac:dyDescent="0.2">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spans="1:26" ht="15.75" customHeight="1" x14ac:dyDescent="0.2">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spans="1:26" ht="15.75" customHeight="1" x14ac:dyDescent="0.2">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spans="1:26" ht="15.75" customHeight="1" x14ac:dyDescent="0.2">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spans="1:26" ht="15.75" customHeight="1" x14ac:dyDescent="0.2">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spans="1:26" ht="15.75" customHeight="1" x14ac:dyDescent="0.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spans="1:26" ht="15.75" customHeight="1" x14ac:dyDescent="0.2">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spans="1:26" ht="15.75" customHeight="1" x14ac:dyDescent="0.2">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spans="1:26" ht="15.75" customHeight="1" x14ac:dyDescent="0.2">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spans="1:26" ht="15.75" customHeight="1" x14ac:dyDescent="0.2">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spans="1:26" ht="15.75" customHeight="1" x14ac:dyDescent="0.2">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spans="1:26" ht="15.75" customHeight="1" x14ac:dyDescent="0.2">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spans="1:26" ht="15.75" customHeight="1" x14ac:dyDescent="0.2">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spans="1:26" ht="15.75" customHeight="1" x14ac:dyDescent="0.2">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spans="1:26" ht="15.75" customHeight="1" x14ac:dyDescent="0.2">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spans="1:26" ht="15.75" customHeight="1" x14ac:dyDescent="0.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spans="1:26" ht="15.75" customHeight="1" x14ac:dyDescent="0.2">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spans="1:26" ht="15.75" customHeight="1" x14ac:dyDescent="0.2">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spans="1:26" ht="15.75" customHeight="1" x14ac:dyDescent="0.2">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spans="1:26" ht="15.75" customHeight="1" x14ac:dyDescent="0.2">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spans="1:26" ht="15.75" customHeight="1" x14ac:dyDescent="0.2">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spans="1:26" ht="15.75" customHeight="1" x14ac:dyDescent="0.2">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spans="1:26" ht="15.75" customHeight="1" x14ac:dyDescent="0.2">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spans="1:26" ht="15.75" customHeight="1" x14ac:dyDescent="0.2">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spans="1:26" ht="15.75" customHeight="1" x14ac:dyDescent="0.2">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spans="1:26" ht="15.75" customHeight="1" x14ac:dyDescent="0.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spans="1:26" ht="15.75" customHeight="1" x14ac:dyDescent="0.2">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spans="1:26" ht="15.75" customHeight="1" x14ac:dyDescent="0.2">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spans="1:26" ht="15.75" customHeight="1" x14ac:dyDescent="0.2">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spans="1:26" ht="15.75" customHeight="1" x14ac:dyDescent="0.2">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spans="1:26" ht="15.75" customHeight="1" x14ac:dyDescent="0.2">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spans="1:26" ht="15.75" customHeight="1" x14ac:dyDescent="0.2">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spans="1:26" ht="15.75" customHeight="1" x14ac:dyDescent="0.2">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spans="1:26" ht="15.75" customHeight="1" x14ac:dyDescent="0.2">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spans="1:26" ht="15.75" customHeight="1" x14ac:dyDescent="0.2">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spans="1:26" ht="15.75" customHeight="1" x14ac:dyDescent="0.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spans="1:26" ht="15.75" customHeight="1" x14ac:dyDescent="0.2">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spans="1:26" ht="15.75" customHeight="1" x14ac:dyDescent="0.2">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spans="1:26" ht="15.75" customHeight="1" x14ac:dyDescent="0.2">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spans="1:26" ht="15.75" customHeight="1" x14ac:dyDescent="0.2">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spans="1:26" ht="15.75" customHeight="1" x14ac:dyDescent="0.2">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spans="1:26" ht="15.75" customHeight="1" x14ac:dyDescent="0.2">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spans="1:26" ht="15.75" customHeight="1" x14ac:dyDescent="0.2">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spans="1:26" ht="15.75" customHeight="1" x14ac:dyDescent="0.2">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spans="1:26" ht="15.75" customHeight="1" x14ac:dyDescent="0.2">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spans="1:26" ht="15.75" customHeight="1" x14ac:dyDescent="0.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spans="1:26" ht="15.75" customHeight="1" x14ac:dyDescent="0.2">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spans="1:26" ht="15.75" customHeight="1" x14ac:dyDescent="0.2">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spans="1:26" ht="15.75" customHeight="1" x14ac:dyDescent="0.2">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spans="1:26" ht="15.75" customHeight="1" x14ac:dyDescent="0.2">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spans="1:26" ht="15.75" customHeight="1" x14ac:dyDescent="0.2">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spans="1:26" ht="15.75" customHeight="1" x14ac:dyDescent="0.2">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spans="1:26" ht="15.75" customHeight="1" x14ac:dyDescent="0.2">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spans="1:26" ht="15.75" customHeight="1" x14ac:dyDescent="0.2">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spans="1:26" ht="15.75" customHeight="1" x14ac:dyDescent="0.2">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spans="1:26" ht="15.75" customHeight="1" x14ac:dyDescent="0.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spans="1:26" ht="15.75" customHeight="1" x14ac:dyDescent="0.2">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spans="1:26" ht="15.75" customHeight="1" x14ac:dyDescent="0.2">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spans="1:26" ht="15.75" customHeight="1" x14ac:dyDescent="0.2">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spans="1:26" ht="15.75" customHeight="1" x14ac:dyDescent="0.2">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spans="1:26" ht="15.75" customHeight="1" x14ac:dyDescent="0.2">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spans="1:26" ht="15.75" customHeight="1" x14ac:dyDescent="0.2">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spans="1:26" ht="15.75" customHeight="1" x14ac:dyDescent="0.2">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spans="1:26" ht="15.75" customHeight="1" x14ac:dyDescent="0.2">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spans="1:26" ht="15.75" customHeight="1" x14ac:dyDescent="0.2">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spans="1:26" ht="15.75" customHeight="1" x14ac:dyDescent="0.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spans="1:26" ht="15.75" customHeight="1" x14ac:dyDescent="0.2">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spans="1:26" ht="15.75" customHeight="1" x14ac:dyDescent="0.2">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spans="1:26" ht="15.75" customHeight="1" x14ac:dyDescent="0.2">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spans="1:26" ht="15.75" customHeight="1" x14ac:dyDescent="0.2">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spans="1:26" ht="15.75" customHeight="1" x14ac:dyDescent="0.2">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spans="1:26" ht="15.75" customHeight="1" x14ac:dyDescent="0.2">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spans="1:26" ht="15.75" customHeight="1" x14ac:dyDescent="0.2">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spans="1:26" ht="15.75" customHeight="1" x14ac:dyDescent="0.2">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spans="1:26" ht="15.75" customHeight="1" x14ac:dyDescent="0.2">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spans="1:26" ht="15.75" customHeight="1" x14ac:dyDescent="0.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spans="1:26" ht="15.75" customHeight="1" x14ac:dyDescent="0.2">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spans="1:26" ht="15.75" customHeight="1" x14ac:dyDescent="0.2">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spans="1:26" ht="15.75" customHeight="1" x14ac:dyDescent="0.2">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spans="1:26" ht="15.75" customHeight="1" x14ac:dyDescent="0.2">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spans="1:26" ht="15.75" customHeight="1" x14ac:dyDescent="0.2">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spans="1:26" ht="15.75" customHeight="1" x14ac:dyDescent="0.2">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spans="1:26" ht="15.75" customHeight="1" x14ac:dyDescent="0.2">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spans="1:26" ht="15.75" customHeight="1" x14ac:dyDescent="0.2">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spans="1:26" ht="15.75" customHeight="1" x14ac:dyDescent="0.2">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spans="1:26" ht="15.75" customHeight="1" x14ac:dyDescent="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spans="1:26" ht="15.75" customHeight="1" x14ac:dyDescent="0.2">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spans="1:26" ht="15.75" customHeight="1" x14ac:dyDescent="0.2">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spans="1:26" ht="15.75" customHeight="1" x14ac:dyDescent="0.2">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spans="1:26" ht="15.75" customHeight="1" x14ac:dyDescent="0.2">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spans="1:26" ht="15.75" customHeight="1" x14ac:dyDescent="0.2">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spans="1:26" ht="15.75" customHeight="1" x14ac:dyDescent="0.2">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spans="1:26" ht="15.75" customHeight="1" x14ac:dyDescent="0.2">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spans="1:26" ht="15.75" customHeight="1" x14ac:dyDescent="0.2">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spans="1:26" ht="15.75" customHeight="1" x14ac:dyDescent="0.2">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spans="1:26" ht="15.75" customHeight="1" x14ac:dyDescent="0.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spans="1:26" ht="15.75" customHeight="1" x14ac:dyDescent="0.2">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spans="1:26" ht="15.75" customHeight="1" x14ac:dyDescent="0.2">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spans="1:26" ht="15.75" customHeight="1" x14ac:dyDescent="0.2">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spans="1:26" ht="15.75" customHeight="1" x14ac:dyDescent="0.2">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spans="1:26" ht="15.75" customHeight="1" x14ac:dyDescent="0.2">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spans="1:26" ht="15.75" customHeight="1" x14ac:dyDescent="0.2">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spans="1:26" ht="15.75" customHeight="1" x14ac:dyDescent="0.2">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spans="1:26" ht="15.75" customHeight="1" x14ac:dyDescent="0.2">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spans="1:26" ht="15.75" customHeight="1" x14ac:dyDescent="0.2">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spans="1:26" ht="15.75" customHeight="1" x14ac:dyDescent="0.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spans="1:26" ht="15.75" customHeight="1" x14ac:dyDescent="0.2">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spans="1:26" ht="15.75" customHeight="1" x14ac:dyDescent="0.2">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spans="1:26" ht="15.75" customHeight="1" x14ac:dyDescent="0.2">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spans="1:26" ht="15.75" customHeight="1" x14ac:dyDescent="0.2">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spans="1:26" ht="15.75" customHeight="1" x14ac:dyDescent="0.2">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spans="1:26" ht="15.75" customHeight="1" x14ac:dyDescent="0.2">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spans="1:26" ht="15.75" customHeight="1" x14ac:dyDescent="0.2">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spans="1:26" ht="15.75" customHeight="1" x14ac:dyDescent="0.2">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spans="1:26" ht="15.75" customHeight="1" x14ac:dyDescent="0.2">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spans="1:26" ht="15.75" customHeight="1" x14ac:dyDescent="0.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spans="1:26" ht="15.75" customHeight="1" x14ac:dyDescent="0.2">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spans="1:26" ht="15.75" customHeight="1" x14ac:dyDescent="0.2">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spans="1:26" ht="15.75" customHeight="1" x14ac:dyDescent="0.2">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spans="1:26" ht="15.75" customHeight="1" x14ac:dyDescent="0.2">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spans="1:26" ht="15.75" customHeight="1" x14ac:dyDescent="0.2">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spans="1:26" ht="15.75" customHeight="1" x14ac:dyDescent="0.2">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spans="1:26" ht="15.75" customHeight="1" x14ac:dyDescent="0.2">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spans="1:26" ht="15.75" customHeight="1" x14ac:dyDescent="0.2">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spans="1:26" ht="15.75" customHeight="1" x14ac:dyDescent="0.2">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spans="1:26" ht="15.75" customHeight="1" x14ac:dyDescent="0.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spans="1:26" ht="15.75" customHeight="1" x14ac:dyDescent="0.2">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spans="1:26" ht="15.75" customHeight="1" x14ac:dyDescent="0.2">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spans="1:26" ht="15.75" customHeight="1" x14ac:dyDescent="0.2">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spans="1:26" ht="15.75" customHeight="1" x14ac:dyDescent="0.2">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spans="1:26" ht="15.75" customHeight="1" x14ac:dyDescent="0.2">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spans="1:26" ht="15.75" customHeight="1" x14ac:dyDescent="0.2">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spans="1:26" ht="15.75" customHeight="1" x14ac:dyDescent="0.2">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spans="1:26" ht="15.75" customHeight="1" x14ac:dyDescent="0.2">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spans="1:26" ht="15.75" customHeight="1" x14ac:dyDescent="0.2">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spans="1:26" ht="15.75" customHeight="1" x14ac:dyDescent="0.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spans="1:26" ht="15.75" customHeight="1" x14ac:dyDescent="0.2">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spans="1:26" ht="15.75" customHeight="1" x14ac:dyDescent="0.2">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spans="1:26" ht="15.75" customHeight="1" x14ac:dyDescent="0.2">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spans="1:26" ht="15.75" customHeight="1" x14ac:dyDescent="0.2">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spans="1:26" ht="15.75" customHeight="1" x14ac:dyDescent="0.2">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spans="1:26" ht="15.75" customHeight="1" x14ac:dyDescent="0.2">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spans="1:26" ht="15.75" customHeight="1" x14ac:dyDescent="0.2">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spans="1:26" ht="15.75" customHeight="1" x14ac:dyDescent="0.2">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spans="1:26" ht="15.75" customHeight="1" x14ac:dyDescent="0.2">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spans="1:26" ht="15.75" customHeight="1" x14ac:dyDescent="0.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spans="1:26" ht="15.75" customHeight="1" x14ac:dyDescent="0.2">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spans="1:26" ht="15.75" customHeight="1" x14ac:dyDescent="0.2">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spans="1:26" ht="15.75" customHeight="1" x14ac:dyDescent="0.2">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spans="1:26" ht="15.75" customHeight="1" x14ac:dyDescent="0.2">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spans="1:26" ht="15.75" customHeight="1" x14ac:dyDescent="0.2">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spans="1:26" ht="15.75" customHeight="1" x14ac:dyDescent="0.2">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spans="1:26" ht="15.75" customHeight="1" x14ac:dyDescent="0.2">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spans="1:26" ht="15.75" customHeight="1" x14ac:dyDescent="0.2">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spans="1:26" ht="15.75" customHeight="1" x14ac:dyDescent="0.2">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spans="1:26" ht="15.75" customHeight="1" x14ac:dyDescent="0.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spans="1:26" ht="15.75" customHeight="1" x14ac:dyDescent="0.2">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spans="1:26" ht="15.75" customHeight="1" x14ac:dyDescent="0.2">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spans="1:26" ht="15.75" customHeight="1" x14ac:dyDescent="0.2">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spans="1:26" ht="15.75" customHeight="1" x14ac:dyDescent="0.2">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spans="1:26" ht="15.75" customHeight="1" x14ac:dyDescent="0.2">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spans="1:26" ht="15.75" customHeight="1" x14ac:dyDescent="0.2">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spans="1:26" ht="15.75" customHeight="1" x14ac:dyDescent="0.2">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spans="1:26" ht="15.75" customHeight="1" x14ac:dyDescent="0.2">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spans="1:26" ht="15.75" customHeight="1" x14ac:dyDescent="0.2">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spans="1:26" ht="15.75" customHeight="1" x14ac:dyDescent="0.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spans="1:26" ht="15.75" customHeight="1" x14ac:dyDescent="0.2">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spans="1:26" ht="15.75" customHeight="1" x14ac:dyDescent="0.2">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spans="1:26" ht="15.75" customHeight="1" x14ac:dyDescent="0.2">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spans="1:26" ht="15.75" customHeight="1" x14ac:dyDescent="0.2">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spans="1:26" ht="15.75" customHeight="1" x14ac:dyDescent="0.2">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spans="1:26" ht="15.75" customHeight="1" x14ac:dyDescent="0.2">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spans="1:26" ht="15.75" customHeight="1" x14ac:dyDescent="0.2">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spans="1:26" ht="15.75" customHeight="1" x14ac:dyDescent="0.2">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spans="1:26" ht="15.75" customHeight="1" x14ac:dyDescent="0.2">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spans="1:26" ht="15.75" customHeight="1" x14ac:dyDescent="0.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spans="1:26" ht="15.75" customHeight="1" x14ac:dyDescent="0.2">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spans="1:26" ht="15.75" customHeight="1" x14ac:dyDescent="0.2">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spans="1:26" ht="15.75" customHeight="1" x14ac:dyDescent="0.2">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spans="1:26" ht="15.75" customHeight="1" x14ac:dyDescent="0.2">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spans="1:26" ht="15.75" customHeight="1" x14ac:dyDescent="0.2">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spans="1:26" ht="15.75" customHeight="1" x14ac:dyDescent="0.2">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spans="1:26" ht="15.75" customHeight="1" x14ac:dyDescent="0.2">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spans="1:26" ht="15.75" customHeight="1" x14ac:dyDescent="0.2">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spans="1:26" ht="15.75" customHeight="1" x14ac:dyDescent="0.2">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spans="1:26" ht="15.75" customHeight="1" x14ac:dyDescent="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spans="1:26" ht="15.75" customHeight="1" x14ac:dyDescent="0.2">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spans="1:26" ht="15.75" customHeight="1" x14ac:dyDescent="0.2">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spans="1:26" ht="15.75" customHeight="1" x14ac:dyDescent="0.2">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spans="1:26" ht="15.75" customHeight="1" x14ac:dyDescent="0.2">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spans="1:26" ht="15.75" customHeight="1" x14ac:dyDescent="0.2">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spans="1:26" ht="15.75" customHeight="1" x14ac:dyDescent="0.2">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spans="1:26" ht="15.75" customHeight="1" x14ac:dyDescent="0.2">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spans="1:26" ht="15.75" customHeight="1" x14ac:dyDescent="0.2">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spans="1:26" ht="15.75" customHeight="1" x14ac:dyDescent="0.2">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spans="1:26" ht="15.75" customHeight="1" x14ac:dyDescent="0.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spans="1:26" ht="15.75" customHeight="1" x14ac:dyDescent="0.2">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spans="1:26" ht="15.75" customHeight="1" x14ac:dyDescent="0.2">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spans="1:26" ht="15.75" customHeight="1" x14ac:dyDescent="0.2">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spans="1:26" ht="15.75" customHeight="1" x14ac:dyDescent="0.2">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spans="1:26" ht="15.75" customHeight="1" x14ac:dyDescent="0.2">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spans="1:26" ht="15.75" customHeight="1" x14ac:dyDescent="0.2">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spans="1:26" ht="15.75" customHeight="1" x14ac:dyDescent="0.2">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spans="1:26" ht="15.75" customHeight="1" x14ac:dyDescent="0.2">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spans="1:26" ht="15.75" customHeight="1" x14ac:dyDescent="0.2">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spans="1:26" ht="15.75" customHeight="1" x14ac:dyDescent="0.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spans="1:26" ht="15.75" customHeight="1" x14ac:dyDescent="0.2">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spans="1:26" ht="15.75" customHeight="1" x14ac:dyDescent="0.2">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spans="1:26" ht="15.75" customHeight="1" x14ac:dyDescent="0.2">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spans="1:26" ht="15.75" customHeight="1" x14ac:dyDescent="0.2">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spans="1:26" ht="15.75" customHeight="1" x14ac:dyDescent="0.2">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spans="1:26" ht="15.75" customHeight="1" x14ac:dyDescent="0.2">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spans="1:26" ht="15.75" customHeight="1" x14ac:dyDescent="0.2">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spans="1:26" ht="15.75" customHeight="1" x14ac:dyDescent="0.2">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spans="1:26" ht="15.75" customHeight="1" x14ac:dyDescent="0.2">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spans="1:26" ht="15.75" customHeight="1" x14ac:dyDescent="0.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spans="1:26" ht="15.75" customHeight="1" x14ac:dyDescent="0.2">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spans="1:26" ht="15.75" customHeight="1" x14ac:dyDescent="0.2">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spans="1:26" ht="15.75" customHeight="1" x14ac:dyDescent="0.2">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spans="1:26" ht="15.75" customHeight="1" x14ac:dyDescent="0.2">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spans="1:26" ht="15.75" customHeight="1" x14ac:dyDescent="0.2">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spans="1:26" ht="15.75" customHeight="1" x14ac:dyDescent="0.2">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spans="1:26" ht="15.75" customHeight="1" x14ac:dyDescent="0.2">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spans="1:26" ht="15.75" customHeight="1" x14ac:dyDescent="0.2">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spans="1:26" ht="15.75" customHeight="1" x14ac:dyDescent="0.2">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spans="1:26" ht="15.75" customHeight="1" x14ac:dyDescent="0.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spans="1:26" ht="15.75" customHeight="1" x14ac:dyDescent="0.2">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spans="1:26" ht="15.75" customHeight="1" x14ac:dyDescent="0.2">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spans="1:26" ht="15.75" customHeight="1" x14ac:dyDescent="0.2">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spans="1:26" ht="15.75" customHeight="1" x14ac:dyDescent="0.2">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spans="1:26" ht="15.75" customHeight="1" x14ac:dyDescent="0.2">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spans="1:26" ht="15.75" customHeight="1" x14ac:dyDescent="0.2">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spans="1:26" ht="15.75" customHeight="1" x14ac:dyDescent="0.2">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spans="1:26" ht="15.75" customHeight="1" x14ac:dyDescent="0.2">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spans="1:26" ht="15.75" customHeight="1" x14ac:dyDescent="0.2">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spans="1:26" ht="15.75" customHeight="1" x14ac:dyDescent="0.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spans="1:26" ht="15.75" customHeight="1" x14ac:dyDescent="0.2">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spans="1:26" ht="15.75" customHeight="1" x14ac:dyDescent="0.2">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spans="1:26" ht="15.75" customHeight="1" x14ac:dyDescent="0.2">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spans="1:26" ht="15.75" customHeight="1" x14ac:dyDescent="0.2">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spans="1:26" ht="15.75" customHeight="1" x14ac:dyDescent="0.2">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spans="1:26" ht="15.75" customHeight="1" x14ac:dyDescent="0.2">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spans="1:26" ht="15.75" customHeight="1" x14ac:dyDescent="0.2">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spans="1:26" ht="15.75" customHeight="1" x14ac:dyDescent="0.2">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spans="1:26" ht="15.75" customHeight="1" x14ac:dyDescent="0.2">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spans="1:26" ht="15.75" customHeight="1" x14ac:dyDescent="0.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spans="1:26" ht="15.75" customHeight="1" x14ac:dyDescent="0.2">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spans="1:26" ht="15.75" customHeight="1" x14ac:dyDescent="0.2">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spans="1:26" ht="15.75" customHeight="1" x14ac:dyDescent="0.2">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spans="1:26" ht="15.75" customHeight="1" x14ac:dyDescent="0.2">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spans="1:26" ht="15.75" customHeight="1" x14ac:dyDescent="0.2">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spans="1:26" ht="15.75" customHeight="1" x14ac:dyDescent="0.2">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spans="1:26" ht="15.75" customHeight="1" x14ac:dyDescent="0.2">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spans="1:26" ht="15.75" customHeight="1" x14ac:dyDescent="0.2">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spans="1:26" ht="15.75" customHeight="1" x14ac:dyDescent="0.2">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spans="1:26" ht="15.75" customHeight="1" x14ac:dyDescent="0.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spans="1:26" ht="15.75" customHeight="1" x14ac:dyDescent="0.2">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spans="1:26" ht="15.75" customHeight="1" x14ac:dyDescent="0.2">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spans="1:26" ht="15.75" customHeight="1" x14ac:dyDescent="0.2">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spans="1:26" ht="15.75" customHeight="1" x14ac:dyDescent="0.2">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spans="1:26" ht="15.75" customHeight="1" x14ac:dyDescent="0.2">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spans="1:26" ht="15.75" customHeight="1" x14ac:dyDescent="0.2">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spans="1:26" ht="15.75" customHeight="1" x14ac:dyDescent="0.2">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spans="1:26" ht="15.75" customHeight="1" x14ac:dyDescent="0.2">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spans="1:26" ht="15.75" customHeight="1" x14ac:dyDescent="0.2">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spans="1:26" ht="15.75" customHeight="1" x14ac:dyDescent="0.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spans="1:26" ht="15.75" customHeight="1" x14ac:dyDescent="0.2">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spans="1:26" ht="15.75" customHeight="1" x14ac:dyDescent="0.2">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spans="1:26" ht="15.75" customHeight="1" x14ac:dyDescent="0.2">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spans="1:26" ht="15.75" customHeight="1" x14ac:dyDescent="0.2">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spans="1:26" ht="15.75" customHeight="1" x14ac:dyDescent="0.2">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spans="1:26" ht="15.75" customHeight="1" x14ac:dyDescent="0.2">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spans="1:26" ht="15.75" customHeight="1" x14ac:dyDescent="0.2">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spans="1:26" ht="15.75" customHeight="1" x14ac:dyDescent="0.2">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spans="1:26" ht="15.75" customHeight="1" x14ac:dyDescent="0.2">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spans="1:26" ht="15.75" customHeight="1" x14ac:dyDescent="0.2">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spans="1:26" ht="15.75" customHeight="1" x14ac:dyDescent="0.2">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spans="1:26" ht="15.75" customHeight="1" x14ac:dyDescent="0.2">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spans="1:26" ht="15.75" customHeight="1" x14ac:dyDescent="0.2">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spans="1:26" ht="15.75" customHeight="1" x14ac:dyDescent="0.2">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spans="1:26" ht="15.75" customHeight="1" x14ac:dyDescent="0.2">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spans="1:26" ht="15.75" customHeight="1" x14ac:dyDescent="0.2">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spans="1:26" ht="15.75" customHeight="1" x14ac:dyDescent="0.2">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spans="1:26" ht="15.75" customHeight="1" x14ac:dyDescent="0.2">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mergeCells count="20">
    <mergeCell ref="V1:V2"/>
    <mergeCell ref="W1:W2"/>
    <mergeCell ref="X1:Y1"/>
    <mergeCell ref="H1:H2"/>
    <mergeCell ref="I1:I2"/>
    <mergeCell ref="J1:J2"/>
    <mergeCell ref="K1:K2"/>
    <mergeCell ref="L1:L2"/>
    <mergeCell ref="N1:N2"/>
    <mergeCell ref="Q1:Q2"/>
    <mergeCell ref="F1:F2"/>
    <mergeCell ref="G1:G2"/>
    <mergeCell ref="O1:P1"/>
    <mergeCell ref="R1:T1"/>
    <mergeCell ref="U1:U2"/>
    <mergeCell ref="A1:A2"/>
    <mergeCell ref="B1:B2"/>
    <mergeCell ref="C1:C2"/>
    <mergeCell ref="D1:D2"/>
    <mergeCell ref="E1:E2"/>
  </mergeCells>
  <pageMargins left="0.7" right="0.7" top="0.75" bottom="0.75" header="0.3" footer="0.3"/>
  <pageSetup orientation="portrait"/>
  <headerFooter>
    <oddHeader>&amp;L&amp;C&amp;R</oddHeader>
    <oddFooter>&amp;L&amp;C&amp;R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6B328-7608-A928-9B88-BFB87B97FE1A}">
  <sheetPr>
    <outlinePr summaryBelow="0" summaryRight="0"/>
  </sheetPr>
  <dimension ref="A1:Z4"/>
  <sheetViews>
    <sheetView showGridLines="0" workbookViewId="0">
      <pane xSplit="1" ySplit="2" topLeftCell="B3" activePane="bottomRight" state="frozen"/>
      <selection pane="topRight" activeCell="B1" sqref="B1"/>
      <selection pane="bottomLeft" activeCell="A3" sqref="A3"/>
      <selection pane="bottomRight" sqref="A1:A2"/>
    </sheetView>
  </sheetViews>
  <sheetFormatPr defaultColWidth="12.5703125" defaultRowHeight="15.75" customHeight="1" x14ac:dyDescent="0.2"/>
  <cols>
    <col min="1" max="1" width="32.140625" customWidth="1"/>
    <col min="2" max="2" width="28.85546875" customWidth="1"/>
    <col min="3" max="3" width="19.140625" customWidth="1"/>
    <col min="4" max="4" width="20.42578125" customWidth="1"/>
    <col min="5" max="5" width="17" customWidth="1"/>
    <col min="6" max="6" width="22.5703125" customWidth="1"/>
    <col min="7" max="9" width="17" customWidth="1"/>
    <col min="10" max="10" width="24.85546875" customWidth="1"/>
    <col min="11" max="11" width="27.140625" customWidth="1"/>
    <col min="12" max="12" width="24.42578125" customWidth="1"/>
    <col min="13" max="13" width="37" customWidth="1"/>
    <col min="14" max="14" width="27.42578125" customWidth="1"/>
    <col min="15" max="15" width="21.42578125" customWidth="1"/>
    <col min="17" max="17" width="38.7109375" customWidth="1"/>
    <col min="18" max="18" width="17.5703125" customWidth="1"/>
    <col min="21" max="21" width="22.5703125" customWidth="1"/>
    <col min="22" max="22" width="18.7109375" customWidth="1"/>
    <col min="23" max="23" width="14.7109375" customWidth="1"/>
    <col min="25" max="25" width="20.5703125" customWidth="1"/>
    <col min="26" max="26" width="26.5703125" customWidth="1"/>
  </cols>
  <sheetData>
    <row r="1" spans="1:26" ht="15.75" customHeight="1" x14ac:dyDescent="0.2">
      <c r="A1" s="86" t="s">
        <v>83</v>
      </c>
      <c r="B1" s="86" t="s">
        <v>18</v>
      </c>
      <c r="C1" s="86" t="s">
        <v>84</v>
      </c>
      <c r="D1" s="86" t="s">
        <v>85</v>
      </c>
      <c r="E1" s="86" t="s">
        <v>86</v>
      </c>
      <c r="F1" s="86" t="s">
        <v>87</v>
      </c>
      <c r="G1" s="86" t="s">
        <v>33</v>
      </c>
      <c r="H1" s="86" t="s">
        <v>36</v>
      </c>
      <c r="I1" s="86" t="s">
        <v>88</v>
      </c>
      <c r="J1" s="86" t="s">
        <v>89</v>
      </c>
      <c r="K1" s="86" t="s">
        <v>90</v>
      </c>
      <c r="L1" s="84" t="s">
        <v>91</v>
      </c>
      <c r="M1" s="20" t="s">
        <v>47</v>
      </c>
      <c r="N1" s="84" t="s">
        <v>92</v>
      </c>
      <c r="O1" s="90" t="s">
        <v>50</v>
      </c>
      <c r="P1" s="88"/>
      <c r="Q1" s="84" t="s">
        <v>93</v>
      </c>
      <c r="R1" s="87" t="s">
        <v>94</v>
      </c>
      <c r="S1" s="89"/>
      <c r="T1" s="88"/>
      <c r="U1" s="86" t="s">
        <v>95</v>
      </c>
      <c r="V1" s="86" t="s">
        <v>96</v>
      </c>
      <c r="W1" s="86" t="s">
        <v>53</v>
      </c>
      <c r="X1" s="87" t="s">
        <v>97</v>
      </c>
      <c r="Y1" s="88"/>
      <c r="Z1" s="6" t="s">
        <v>98</v>
      </c>
    </row>
    <row r="2" spans="1:26" ht="15.75" customHeight="1" x14ac:dyDescent="0.2">
      <c r="A2" s="85"/>
      <c r="B2" s="85"/>
      <c r="C2" s="85"/>
      <c r="D2" s="85"/>
      <c r="E2" s="85"/>
      <c r="F2" s="85"/>
      <c r="G2" s="85"/>
      <c r="H2" s="85"/>
      <c r="I2" s="85"/>
      <c r="J2" s="85"/>
      <c r="K2" s="85"/>
      <c r="L2" s="85"/>
      <c r="M2" s="20" t="s">
        <v>99</v>
      </c>
      <c r="N2" s="85"/>
      <c r="O2" s="20" t="s">
        <v>100</v>
      </c>
      <c r="P2" s="20" t="s">
        <v>18</v>
      </c>
      <c r="Q2" s="85"/>
      <c r="R2" s="20" t="s">
        <v>101</v>
      </c>
      <c r="S2" s="20" t="s">
        <v>83</v>
      </c>
      <c r="T2" s="20" t="s">
        <v>102</v>
      </c>
      <c r="U2" s="85"/>
      <c r="V2" s="85"/>
      <c r="W2" s="85"/>
      <c r="X2" s="20" t="s">
        <v>101</v>
      </c>
      <c r="Y2" s="20" t="s">
        <v>83</v>
      </c>
      <c r="Z2" s="20"/>
    </row>
    <row r="3" spans="1:26" ht="409.6" customHeight="1" x14ac:dyDescent="0.2">
      <c r="A3" s="59" t="s">
        <v>732</v>
      </c>
      <c r="B3" s="60" t="s">
        <v>733</v>
      </c>
      <c r="C3" s="60" t="s">
        <v>734</v>
      </c>
      <c r="D3" s="60" t="s">
        <v>735</v>
      </c>
      <c r="E3" s="60" t="s">
        <v>28</v>
      </c>
      <c r="F3" s="60" t="s">
        <v>736</v>
      </c>
      <c r="G3" s="60" t="s">
        <v>34</v>
      </c>
      <c r="H3" s="60" t="s">
        <v>737</v>
      </c>
      <c r="I3" s="61" t="s">
        <v>104</v>
      </c>
      <c r="J3" s="61" t="s">
        <v>738</v>
      </c>
      <c r="K3" s="61" t="s">
        <v>739</v>
      </c>
      <c r="L3" s="60" t="s">
        <v>740</v>
      </c>
      <c r="M3" s="60" t="s">
        <v>741</v>
      </c>
      <c r="N3" s="60" t="s">
        <v>103</v>
      </c>
      <c r="O3" s="60" t="s">
        <v>51</v>
      </c>
      <c r="P3" s="60" t="s">
        <v>19</v>
      </c>
      <c r="Q3" s="60" t="s">
        <v>742</v>
      </c>
      <c r="R3" s="60" t="s">
        <v>743</v>
      </c>
      <c r="S3" s="60" t="s">
        <v>19</v>
      </c>
      <c r="T3" s="60" t="s">
        <v>744</v>
      </c>
      <c r="U3" s="60" t="s">
        <v>106</v>
      </c>
      <c r="V3" s="60" t="s">
        <v>106</v>
      </c>
      <c r="W3" s="60" t="s">
        <v>745</v>
      </c>
      <c r="X3" s="60" t="s">
        <v>746</v>
      </c>
      <c r="Y3" s="60" t="s">
        <v>19</v>
      </c>
      <c r="Z3" s="91" t="s">
        <v>747</v>
      </c>
    </row>
    <row r="4" spans="1:26" ht="409.6" customHeight="1" x14ac:dyDescent="0.2">
      <c r="A4" s="62"/>
      <c r="B4" s="61"/>
      <c r="C4" s="61"/>
      <c r="D4" s="61"/>
      <c r="E4" s="61"/>
      <c r="F4" s="61"/>
      <c r="G4" s="61"/>
      <c r="H4" s="61"/>
      <c r="I4" s="61"/>
      <c r="J4" s="61"/>
      <c r="K4" s="61"/>
      <c r="L4" s="60"/>
      <c r="M4" s="60"/>
      <c r="N4" s="60"/>
      <c r="O4" s="60"/>
      <c r="P4" s="60"/>
      <c r="Q4" s="60"/>
      <c r="R4" s="60"/>
      <c r="S4" s="60"/>
      <c r="T4" s="60"/>
      <c r="U4" s="60"/>
      <c r="V4" s="60"/>
      <c r="W4" s="60"/>
      <c r="X4" s="60"/>
      <c r="Y4" s="60"/>
      <c r="Z4" s="85"/>
    </row>
  </sheetData>
  <mergeCells count="21">
    <mergeCell ref="V1:V2"/>
    <mergeCell ref="W1:W2"/>
    <mergeCell ref="X1:Y1"/>
    <mergeCell ref="Z3:Z4"/>
    <mergeCell ref="H1:H2"/>
    <mergeCell ref="I1:I2"/>
    <mergeCell ref="J1:J2"/>
    <mergeCell ref="K1:K2"/>
    <mergeCell ref="L1:L2"/>
    <mergeCell ref="N1:N2"/>
    <mergeCell ref="Q1:Q2"/>
    <mergeCell ref="F1:F2"/>
    <mergeCell ref="G1:G2"/>
    <mergeCell ref="O1:P1"/>
    <mergeCell ref="R1:T1"/>
    <mergeCell ref="U1:U2"/>
    <mergeCell ref="A1:A2"/>
    <mergeCell ref="B1:B2"/>
    <mergeCell ref="C1:C2"/>
    <mergeCell ref="D1:D2"/>
    <mergeCell ref="E1:E2"/>
  </mergeCells>
  <pageMargins left="0.7" right="0.7" top="0.75" bottom="0.75" header="0.3" footer="0.3"/>
  <pageSetup orientation="portrait"/>
  <headerFooter>
    <oddHeader>&amp;L&amp;C&amp;R</oddHeader>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10</vt:i4>
      </vt:variant>
      <vt:variant>
        <vt:lpstr>Intervalos Nomeados</vt:lpstr>
      </vt:variant>
      <vt:variant>
        <vt:i4>1</vt:i4>
      </vt:variant>
    </vt:vector>
  </HeadingPairs>
  <TitlesOfParts>
    <vt:vector size="11" baseType="lpstr">
      <vt:lpstr>BUSCA</vt:lpstr>
      <vt:lpstr>PROPERTY (SLA)</vt:lpstr>
      <vt:lpstr>RCG (SLA)</vt:lpstr>
      <vt:lpstr>RCP (SLA)</vt:lpstr>
      <vt:lpstr>Garantia Judicial</vt:lpstr>
      <vt:lpstr>Garantia - Ressarcimento</vt:lpstr>
      <vt:lpstr>Garantia - Adicional Trabalhist</vt:lpstr>
      <vt:lpstr>Garantia - Executante</vt:lpstr>
      <vt:lpstr>Garantia - ECTO</vt:lpstr>
      <vt:lpstr>Boticário</vt:lpstr>
      <vt:lpstr>'RCG (SLA)'!_FiltrarBancodeDados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Addvalora Global Adjusters</dc:creator>
  <cp:lastModifiedBy>Addvalora Global Adjusters</cp:lastModifiedBy>
  <dcterms:created xsi:type="dcterms:W3CDTF">2026-03-16T11:08:47Z</dcterms:created>
  <dcterms:modified xsi:type="dcterms:W3CDTF">2026-03-17T13:19:39Z</dcterms:modified>
</cp:coreProperties>
</file>